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pivotTables/pivotTable7.xml" ContentType="application/vnd.openxmlformats-officedocument.spreadsheetml.pivotTable+xml"/>
  <Override PartName="/xl/drawings/drawing8.xml" ContentType="application/vnd.openxmlformats-officedocument.drawing+xml"/>
  <Override PartName="/xl/slicers/slicer3.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Darshan.nagpure\Downloads\"/>
    </mc:Choice>
  </mc:AlternateContent>
  <xr:revisionPtr revIDLastSave="0" documentId="8_{E6B3820B-7AC9-4BD8-9CC6-4114585B17C5}" xr6:coauthVersionLast="36" xr6:coauthVersionMax="36" xr10:uidLastSave="{00000000-0000-0000-0000-000000000000}"/>
  <bookViews>
    <workbookView xWindow="0" yWindow="0" windowWidth="19200" windowHeight="8010" activeTab="1"/>
  </bookViews>
  <sheets>
    <sheet name="new_sales_dataset" sheetId="1" r:id="rId1"/>
    <sheet name="Data Model" sheetId="10" r:id="rId2"/>
    <sheet name="Sheet1" sheetId="2" r:id="rId3"/>
    <sheet name="Sheet2" sheetId="3" r:id="rId4"/>
    <sheet name="Sheet6" sheetId="7" r:id="rId5"/>
    <sheet name="Sheet7" sheetId="8" r:id="rId6"/>
    <sheet name="Sheet8" sheetId="9" r:id="rId7"/>
    <sheet name="Sheet10" sheetId="11" r:id="rId8"/>
    <sheet name="Sheet11" sheetId="12" r:id="rId9"/>
  </sheets>
  <definedNames>
    <definedName name="Slicer_Months">#N/A</definedName>
    <definedName name="Slicer_payment_mode">#N/A</definedName>
  </definedNames>
  <calcPr calcId="0"/>
  <pivotCaches>
    <pivotCache cacheId="19"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K20" i="1"/>
  <c r="K3" i="1"/>
  <c r="K2" i="1"/>
  <c r="K4" i="1"/>
  <c r="K5" i="1"/>
  <c r="K6" i="1"/>
  <c r="K7" i="1"/>
  <c r="K8" i="1"/>
  <c r="K9" i="1"/>
  <c r="K10" i="1"/>
  <c r="K11" i="1"/>
  <c r="K12" i="1"/>
  <c r="K13" i="1"/>
  <c r="K14" i="1"/>
  <c r="K15" i="1"/>
  <c r="K16" i="1"/>
  <c r="K17" i="1"/>
  <c r="K18" i="1"/>
  <c r="K19" i="1"/>
  <c r="K21" i="1"/>
  <c r="K22" i="1"/>
  <c r="K23" i="1"/>
  <c r="K24" i="1"/>
  <c r="K25" i="1"/>
  <c r="K26" i="1"/>
  <c r="K27" i="1"/>
  <c r="K28" i="1"/>
  <c r="K29" i="1"/>
  <c r="K30" i="1"/>
  <c r="K31" i="1"/>
  <c r="K32" i="1"/>
  <c r="K33" i="1"/>
  <c r="K34" i="1"/>
  <c r="K35" i="1"/>
  <c r="K36" i="1"/>
  <c r="K37" i="1"/>
  <c r="K38" i="1"/>
  <c r="K39" i="1"/>
  <c r="K40" i="1"/>
  <c r="K41" i="1"/>
  <c r="K42" i="1"/>
</calcChain>
</file>

<file path=xl/sharedStrings.xml><?xml version="1.0" encoding="utf-8"?>
<sst xmlns="http://schemas.openxmlformats.org/spreadsheetml/2006/main" count="220" uniqueCount="55">
  <si>
    <t>order_id</t>
  </si>
  <si>
    <t>customer_name</t>
  </si>
  <si>
    <t>city</t>
  </si>
  <si>
    <t>category</t>
  </si>
  <si>
    <t>product_price</t>
  </si>
  <si>
    <t>quantity</t>
  </si>
  <si>
    <t>order_date</t>
  </si>
  <si>
    <t>payment_mode</t>
  </si>
  <si>
    <t>discount_percent</t>
  </si>
  <si>
    <t>Priya</t>
  </si>
  <si>
    <t>Bangalore</t>
  </si>
  <si>
    <t>Electronics</t>
  </si>
  <si>
    <t>Card</t>
  </si>
  <si>
    <t>Mumbai</t>
  </si>
  <si>
    <t>Grocery</t>
  </si>
  <si>
    <t>UPI</t>
  </si>
  <si>
    <t>Neha</t>
  </si>
  <si>
    <t>Arjun</t>
  </si>
  <si>
    <t>Pune</t>
  </si>
  <si>
    <t>Cash</t>
  </si>
  <si>
    <t>Amit</t>
  </si>
  <si>
    <t>Chennai</t>
  </si>
  <si>
    <t>Furniture</t>
  </si>
  <si>
    <t>Riya</t>
  </si>
  <si>
    <t>NULL</t>
  </si>
  <si>
    <t>Karan</t>
  </si>
  <si>
    <t>Nagpur</t>
  </si>
  <si>
    <t>Toys</t>
  </si>
  <si>
    <t>Delhi</t>
  </si>
  <si>
    <t>Rahul</t>
  </si>
  <si>
    <t>Clothing</t>
  </si>
  <si>
    <t>Sneha</t>
  </si>
  <si>
    <t>Hyderabad</t>
  </si>
  <si>
    <t>Vikram</t>
  </si>
  <si>
    <t>Pooja</t>
  </si>
  <si>
    <t>Revenue</t>
  </si>
  <si>
    <t>Sum of Revenue</t>
  </si>
  <si>
    <t>Row Labels</t>
  </si>
  <si>
    <t>Grand Total</t>
  </si>
  <si>
    <t>Month</t>
  </si>
  <si>
    <t>Sum of product_price</t>
  </si>
  <si>
    <t>Sum of order_id</t>
  </si>
  <si>
    <t>Jan</t>
  </si>
  <si>
    <t>Feb</t>
  </si>
  <si>
    <t>Mar</t>
  </si>
  <si>
    <t>Apr</t>
  </si>
  <si>
    <t>May</t>
  </si>
  <si>
    <t>Jun</t>
  </si>
  <si>
    <t>Jul</t>
  </si>
  <si>
    <t>Aug</t>
  </si>
  <si>
    <t>Sep</t>
  </si>
  <si>
    <t>Oct</t>
  </si>
  <si>
    <t>Nov</t>
  </si>
  <si>
    <t>Dec</t>
  </si>
  <si>
    <t xml:space="preserve">                                                                                                                                                              Data Model for sales_dataset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</si>
</sst>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4009]\ * #,##0.00_ ;_ [$₹-4009]\ * \-#,##0.00_ ;_ [$₹-4009]\ * &quot;-&quot;??_ ;_ @_ "/>
    <numFmt numFmtId="166" formatCode="&quot;₹&quot;\ #,##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0" fontId="0" fillId="0" borderId="0" xfId="0" applyAlignment="1">
      <alignment horizontal="center"/>
    </xf>
    <xf numFmtId="14" fontId="0" fillId="0" borderId="0" xfId="0" applyNumberFormat="1" applyAlignment="1">
      <alignment horizontal="center"/>
    </xf>
    <xf numFmtId="164" fontId="0" fillId="0" borderId="0" xfId="0" applyNumberFormat="1" applyAlignment="1">
      <alignment horizontal="center"/>
    </xf>
    <xf numFmtId="1" fontId="0" fillId="0" borderId="0" xfId="0" applyNumberFormat="1" applyAlignment="1">
      <alignment horizontal="center"/>
    </xf>
    <xf numFmtId="166" fontId="0" fillId="0" borderId="0" xfId="0" applyNumberFormat="1" applyAlignment="1">
      <alignment horizontal="center"/>
    </xf>
    <xf numFmtId="3" fontId="0" fillId="0" borderId="0" xfId="0" applyNumberFormat="1" applyAlignment="1">
      <alignment horizontal="center"/>
    </xf>
    <xf numFmtId="3"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applyNumberFormat="1"/>
    <xf numFmtId="0" fontId="0" fillId="0" borderId="0" xfId="0" pivotButton="1"/>
    <xf numFmtId="0" fontId="0" fillId="0" borderId="0" xfId="0" applyAlignment="1">
      <alignment horizontal="left"/>
    </xf>
    <xf numFmtId="9" fontId="0" fillId="0" borderId="0" xfId="0" pivotButton="1" applyNumberFormat="1"/>
    <xf numFmtId="0" fontId="16" fillId="33" borderId="0" xfId="0" applyFont="1" applyFill="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9" formatCode="dd/mm/yyyy"/>
      <alignment horizontal="center" vertical="bottom" textRotation="0" wrapText="0" indent="0" justifyLastLine="0" shrinkToFit="0" readingOrder="0"/>
    </dxf>
    <dxf>
      <numFmt numFmtId="166" formatCode="&quot;₹&quot;\ #,##0.00"/>
      <alignment horizontal="center" vertical="bottom" textRotation="0" wrapText="0" indent="0" justifyLastLine="0" shrinkToFit="0" readingOrder="0"/>
    </dxf>
    <dxf>
      <numFmt numFmtId="164" formatCode="_ [$₹-4009]\ * #,##0.00_ ;_ [$₹-4009]\ * \-#,##0.00_ ;_ [$₹-4009]\ * &quot;-&quot;??_ ;_ @_ "/>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[new_sales_dataset.xlsx]Sheet1!PivotTable1</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City wise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Sheet1!$A$4:$A$10</c:f>
              <c:strCache>
                <c:ptCount val="7"/>
                <c:pt idx="0">
                  <c:v>Bangalore</c:v>
                </c:pt>
                <c:pt idx="1">
                  <c:v>Chennai</c:v>
                </c:pt>
                <c:pt idx="2">
                  <c:v>Delhi</c:v>
                </c:pt>
                <c:pt idx="3">
                  <c:v>Hyderabad</c:v>
                </c:pt>
                <c:pt idx="4">
                  <c:v>Mumbai</c:v>
                </c:pt>
                <c:pt idx="5">
                  <c:v>Nagpur</c:v>
                </c:pt>
                <c:pt idx="6">
                  <c:v>Pune</c:v>
                </c:pt>
              </c:strCache>
            </c:strRef>
          </c:cat>
          <c:val>
            <c:numRef>
              <c:f>Sheet1!$B$4:$B$10</c:f>
              <c:numCache>
                <c:formatCode>General</c:formatCode>
                <c:ptCount val="7"/>
                <c:pt idx="0">
                  <c:v>46694</c:v>
                </c:pt>
                <c:pt idx="1">
                  <c:v>33119</c:v>
                </c:pt>
                <c:pt idx="2">
                  <c:v>35017</c:v>
                </c:pt>
                <c:pt idx="3">
                  <c:v>58997</c:v>
                </c:pt>
                <c:pt idx="4">
                  <c:v>11534</c:v>
                </c:pt>
                <c:pt idx="5">
                  <c:v>37989</c:v>
                </c:pt>
                <c:pt idx="6">
                  <c:v>20289</c:v>
                </c:pt>
              </c:numCache>
            </c:numRef>
          </c:val>
          <c:extLst>
            <c:ext xmlns:c16="http://schemas.microsoft.com/office/drawing/2014/chart" uri="{C3380CC4-5D6E-409C-BE32-E72D297353CC}">
              <c16:uniqueId val="{00000000-309A-46F8-B7F8-B54224055F7B}"/>
            </c:ext>
          </c:extLst>
        </c:ser>
        <c:dLbls>
          <c:showLegendKey val="0"/>
          <c:showVal val="1"/>
          <c:showCatName val="0"/>
          <c:showSerName val="0"/>
          <c:showPercent val="0"/>
          <c:showBubbleSize val="0"/>
        </c:dLbls>
        <c:gapWidth val="150"/>
        <c:shape val="cylinder"/>
        <c:axId val="268840463"/>
        <c:axId val="314486111"/>
        <c:axId val="0"/>
      </c:bar3DChart>
      <c:catAx>
        <c:axId val="2688404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486111"/>
        <c:crosses val="autoZero"/>
        <c:auto val="1"/>
        <c:lblAlgn val="ctr"/>
        <c:lblOffset val="100"/>
        <c:noMultiLvlLbl val="0"/>
      </c:catAx>
      <c:valAx>
        <c:axId val="314486111"/>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840463"/>
        <c:crosses val="autoZero"/>
        <c:crossBetween val="between"/>
      </c:valAx>
      <c:spPr>
        <a:noFill/>
        <a:ln>
          <a:noFill/>
        </a:ln>
        <a:effectLst/>
      </c:spPr>
    </c:plotArea>
    <c:legend>
      <c:legendPos val="r"/>
      <c:layout>
        <c:manualLayout>
          <c:xMode val="edge"/>
          <c:yMode val="edge"/>
          <c:x val="0.81831474190726172"/>
          <c:y val="8.1515748031496055E-2"/>
          <c:w val="0.14989137692800994"/>
          <c:h val="0.129051472732575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[new_sales_dataset.xlsx]Sheet2!PivotTable2</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Category wise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Sheet2!$A$4:$A$8</c:f>
              <c:strCache>
                <c:ptCount val="5"/>
                <c:pt idx="0">
                  <c:v>Clothing</c:v>
                </c:pt>
                <c:pt idx="1">
                  <c:v>Electronics</c:v>
                </c:pt>
                <c:pt idx="2">
                  <c:v>Furniture</c:v>
                </c:pt>
                <c:pt idx="3">
                  <c:v>Grocery</c:v>
                </c:pt>
                <c:pt idx="4">
                  <c:v>Toys</c:v>
                </c:pt>
              </c:strCache>
            </c:strRef>
          </c:cat>
          <c:val>
            <c:numRef>
              <c:f>Sheet2!$B$4:$B$8</c:f>
              <c:numCache>
                <c:formatCode>General</c:formatCode>
                <c:ptCount val="5"/>
                <c:pt idx="0">
                  <c:v>26585</c:v>
                </c:pt>
                <c:pt idx="1">
                  <c:v>32247</c:v>
                </c:pt>
                <c:pt idx="2">
                  <c:v>79081</c:v>
                </c:pt>
                <c:pt idx="3">
                  <c:v>65572</c:v>
                </c:pt>
                <c:pt idx="4">
                  <c:v>40154</c:v>
                </c:pt>
              </c:numCache>
            </c:numRef>
          </c:val>
          <c:extLst>
            <c:ext xmlns:c16="http://schemas.microsoft.com/office/drawing/2014/chart" uri="{C3380CC4-5D6E-409C-BE32-E72D297353CC}">
              <c16:uniqueId val="{00000000-1AA9-43BF-AC30-69F39422F2A5}"/>
            </c:ext>
          </c:extLst>
        </c:ser>
        <c:dLbls>
          <c:dLblPos val="inEnd"/>
          <c:showLegendKey val="0"/>
          <c:showVal val="1"/>
          <c:showCatName val="0"/>
          <c:showSerName val="0"/>
          <c:showPercent val="0"/>
          <c:showBubbleSize val="0"/>
        </c:dLbls>
        <c:gapWidth val="115"/>
        <c:overlap val="-20"/>
        <c:axId val="1593955183"/>
        <c:axId val="1532475631"/>
      </c:barChart>
      <c:catAx>
        <c:axId val="159395518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475631"/>
        <c:crosses val="autoZero"/>
        <c:auto val="1"/>
        <c:lblAlgn val="ctr"/>
        <c:lblOffset val="100"/>
        <c:noMultiLvlLbl val="0"/>
      </c:catAx>
      <c:valAx>
        <c:axId val="1532475631"/>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955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[new_sales_dataset.xlsx]Sheet6!PivotTable6</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Discount vs Revenue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Sheet6!$B$3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Sheet6!$A$4:$A$8</c:f>
              <c:strCache>
                <c:ptCount val="4"/>
                <c:pt idx="0">
                  <c:v>0</c:v>
                </c:pt>
                <c:pt idx="1">
                  <c:v>5</c:v>
                </c:pt>
                <c:pt idx="2">
                  <c:v>10</c:v>
                </c:pt>
                <c:pt idx="3">
                  <c:v>15</c:v>
                </c:pt>
              </c:strCache>
            </c:strRef>
          </c:cat>
          <c:val>
            <c:numRef>
              <c:f>Sheet6!$B$4:$B$8</c:f>
              <c:numCache>
                <c:formatCode>General</c:formatCode>
                <c:ptCount val="4"/>
                <c:pt idx="0">
                  <c:v>144433</c:v>
                </c:pt>
                <c:pt idx="1">
                  <c:v>38811</c:v>
                </c:pt>
                <c:pt idx="2">
                  <c:v>31959</c:v>
                </c:pt>
                <c:pt idx="3">
                  <c:v>28436</c:v>
                </c:pt>
              </c:numCache>
            </c:numRef>
          </c:val>
          <c:extLst>
            <c:ext xmlns:c16="http://schemas.microsoft.com/office/drawing/2014/chart" uri="{C3380CC4-5D6E-409C-BE32-E72D297353CC}">
              <c16:uniqueId val="{00000000-0591-4D16-AE52-43C278AFF99C}"/>
            </c:ext>
          </c:extLst>
        </c:ser>
        <c:dLbls>
          <c:showLegendKey val="0"/>
          <c:showVal val="1"/>
          <c:showCatName val="0"/>
          <c:showSerName val="0"/>
          <c:showPercent val="0"/>
          <c:showBubbleSize val="0"/>
        </c:dLbls>
        <c:gapWidth val="150"/>
        <c:shape val="box"/>
        <c:axId val="310327951"/>
        <c:axId val="1579792927"/>
        <c:axId val="0"/>
      </c:bar3DChart>
      <c:catAx>
        <c:axId val="3103279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792927"/>
        <c:crosses val="autoZero"/>
        <c:auto val="1"/>
        <c:lblAlgn val="ctr"/>
        <c:lblOffset val="100"/>
        <c:noMultiLvlLbl val="0"/>
      </c:catAx>
      <c:valAx>
        <c:axId val="1579792927"/>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27951"/>
        <c:crosses val="autoZero"/>
        <c:crossBetween val="between"/>
      </c:valAx>
      <c:spPr>
        <a:noFill/>
        <a:ln>
          <a:noFill/>
        </a:ln>
        <a:effectLst/>
      </c:spPr>
    </c:plotArea>
    <c:legend>
      <c:legendPos val="r"/>
      <c:layout>
        <c:manualLayout>
          <c:xMode val="edge"/>
          <c:yMode val="edge"/>
          <c:x val="0.76275918635170603"/>
          <c:y val="0.19827500729075531"/>
          <c:w val="9.5574146981627292E-2"/>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[new_sales_dataset.xlsx]Sheet7!PivotTable7</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Price Sensitivity Analysis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Sheet7!$B$3</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Sheet7!$A$4:$A$10</c:f>
              <c:strCache>
                <c:ptCount val="6"/>
                <c:pt idx="0">
                  <c:v>0</c:v>
                </c:pt>
                <c:pt idx="1">
                  <c:v>1</c:v>
                </c:pt>
                <c:pt idx="2">
                  <c:v>2</c:v>
                </c:pt>
                <c:pt idx="3">
                  <c:v>3</c:v>
                </c:pt>
                <c:pt idx="4">
                  <c:v>4</c:v>
                </c:pt>
                <c:pt idx="5">
                  <c:v>5</c:v>
                </c:pt>
              </c:strCache>
            </c:strRef>
          </c:cat>
          <c:val>
            <c:numRef>
              <c:f>Sheet7!$B$4:$B$10</c:f>
              <c:numCache>
                <c:formatCode>General</c:formatCode>
                <c:ptCount val="6"/>
                <c:pt idx="0">
                  <c:v>13876</c:v>
                </c:pt>
                <c:pt idx="1">
                  <c:v>6928</c:v>
                </c:pt>
                <c:pt idx="2">
                  <c:v>28723</c:v>
                </c:pt>
                <c:pt idx="3">
                  <c:v>19887</c:v>
                </c:pt>
                <c:pt idx="4">
                  <c:v>15536</c:v>
                </c:pt>
                <c:pt idx="5">
                  <c:v>11492</c:v>
                </c:pt>
              </c:numCache>
            </c:numRef>
          </c:val>
          <c:smooth val="0"/>
          <c:extLst>
            <c:ext xmlns:c16="http://schemas.microsoft.com/office/drawing/2014/chart" uri="{C3380CC4-5D6E-409C-BE32-E72D297353CC}">
              <c16:uniqueId val="{00000000-3BDC-4B5D-BBB1-162522E8BD9A}"/>
            </c:ext>
          </c:extLst>
        </c:ser>
        <c:dLbls>
          <c:dLblPos val="t"/>
          <c:showLegendKey val="0"/>
          <c:showVal val="1"/>
          <c:showCatName val="0"/>
          <c:showSerName val="0"/>
          <c:showPercent val="0"/>
          <c:showBubbleSize val="0"/>
        </c:dLbls>
        <c:marker val="1"/>
        <c:smooth val="0"/>
        <c:axId val="1587723567"/>
        <c:axId val="1579799583"/>
      </c:lineChart>
      <c:catAx>
        <c:axId val="15877235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799583"/>
        <c:crosses val="autoZero"/>
        <c:auto val="1"/>
        <c:lblAlgn val="ctr"/>
        <c:lblOffset val="100"/>
        <c:noMultiLvlLbl val="0"/>
      </c:catAx>
      <c:valAx>
        <c:axId val="1579799583"/>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723567"/>
        <c:crosses val="autoZero"/>
        <c:crossBetween val="between"/>
      </c:valAx>
      <c:spPr>
        <a:noFill/>
        <a:ln>
          <a:noFill/>
        </a:ln>
        <a:effectLst/>
      </c:spPr>
    </c:plotArea>
    <c:legend>
      <c:legendPos val="r"/>
      <c:layout>
        <c:manualLayout>
          <c:xMode val="edge"/>
          <c:yMode val="edge"/>
          <c:x val="0.67077734033245839"/>
          <c:y val="0.19364537766112569"/>
          <c:w val="0.148667104111986"/>
          <c:h val="6.88662875473898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[new_sales_dataset.xlsx]Sheet8!PivotTable8</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Category vs Order_id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Sheet8!$B$3</c:f>
              <c:strCache>
                <c:ptCount val="1"/>
                <c:pt idx="0">
                  <c:v>Total</c:v>
                </c:pt>
              </c:strCache>
            </c:strRef>
          </c:tx>
          <c:dPt>
            <c:idx val="0"/>
            <c:bubble3D val="0"/>
            <c:spPr>
              <a:solidFill>
                <a:schemeClr val="accent6">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F11-45C0-BED3-1914F911A13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F11-45C0-BED3-1914F911A13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F11-45C0-BED3-1914F911A13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F11-45C0-BED3-1914F911A13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F11-45C0-BED3-1914F911A1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Sheet8!$A$4:$A$8</c:f>
              <c:strCache>
                <c:ptCount val="5"/>
                <c:pt idx="0">
                  <c:v>Clothing</c:v>
                </c:pt>
                <c:pt idx="1">
                  <c:v>Electronics</c:v>
                </c:pt>
                <c:pt idx="2">
                  <c:v>Furniture</c:v>
                </c:pt>
                <c:pt idx="3">
                  <c:v>Grocery</c:v>
                </c:pt>
                <c:pt idx="4">
                  <c:v>Toys</c:v>
                </c:pt>
              </c:strCache>
            </c:strRef>
          </c:cat>
          <c:val>
            <c:numRef>
              <c:f>Sheet8!$B$4:$B$8</c:f>
              <c:numCache>
                <c:formatCode>General</c:formatCode>
                <c:ptCount val="5"/>
                <c:pt idx="0">
                  <c:v>82</c:v>
                </c:pt>
                <c:pt idx="1">
                  <c:v>106</c:v>
                </c:pt>
                <c:pt idx="2">
                  <c:v>250</c:v>
                </c:pt>
                <c:pt idx="3">
                  <c:v>134</c:v>
                </c:pt>
                <c:pt idx="4">
                  <c:v>289</c:v>
                </c:pt>
              </c:numCache>
            </c:numRef>
          </c:val>
          <c:extLst>
            <c:ext xmlns:c16="http://schemas.microsoft.com/office/drawing/2014/chart" uri="{C3380CC4-5D6E-409C-BE32-E72D297353CC}">
              <c16:uniqueId val="{0000000A-4F11-45C0-BED3-1914F911A13D}"/>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0405373188156606"/>
          <c:y val="0.51785724701079028"/>
          <c:w val="0.17176480709516692"/>
          <c:h val="0.390627734033245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[new_sales_dataset.xlsx]Sheet1!PivotTable1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City wise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Sheet1!$A$4:$A$10</c:f>
              <c:strCache>
                <c:ptCount val="7"/>
                <c:pt idx="0">
                  <c:v>Bangalore</c:v>
                </c:pt>
                <c:pt idx="1">
                  <c:v>Chennai</c:v>
                </c:pt>
                <c:pt idx="2">
                  <c:v>Delhi</c:v>
                </c:pt>
                <c:pt idx="3">
                  <c:v>Hyderabad</c:v>
                </c:pt>
                <c:pt idx="4">
                  <c:v>Mumbai</c:v>
                </c:pt>
                <c:pt idx="5">
                  <c:v>Nagpur</c:v>
                </c:pt>
                <c:pt idx="6">
                  <c:v>Pune</c:v>
                </c:pt>
              </c:strCache>
            </c:strRef>
          </c:cat>
          <c:val>
            <c:numRef>
              <c:f>Sheet1!$B$4:$B$10</c:f>
              <c:numCache>
                <c:formatCode>General</c:formatCode>
                <c:ptCount val="7"/>
                <c:pt idx="0">
                  <c:v>46694</c:v>
                </c:pt>
                <c:pt idx="1">
                  <c:v>33119</c:v>
                </c:pt>
                <c:pt idx="2">
                  <c:v>35017</c:v>
                </c:pt>
                <c:pt idx="3">
                  <c:v>58997</c:v>
                </c:pt>
                <c:pt idx="4">
                  <c:v>11534</c:v>
                </c:pt>
                <c:pt idx="5">
                  <c:v>37989</c:v>
                </c:pt>
                <c:pt idx="6">
                  <c:v>20289</c:v>
                </c:pt>
              </c:numCache>
            </c:numRef>
          </c:val>
          <c:extLst>
            <c:ext xmlns:c16="http://schemas.microsoft.com/office/drawing/2014/chart" uri="{C3380CC4-5D6E-409C-BE32-E72D297353CC}">
              <c16:uniqueId val="{00000000-2E26-4284-B89F-3807D72E5CF8}"/>
            </c:ext>
          </c:extLst>
        </c:ser>
        <c:dLbls>
          <c:showLegendKey val="0"/>
          <c:showVal val="1"/>
          <c:showCatName val="0"/>
          <c:showSerName val="0"/>
          <c:showPercent val="0"/>
          <c:showBubbleSize val="0"/>
        </c:dLbls>
        <c:gapWidth val="150"/>
        <c:shape val="cylinder"/>
        <c:axId val="268840463"/>
        <c:axId val="314486111"/>
        <c:axId val="0"/>
      </c:bar3DChart>
      <c:catAx>
        <c:axId val="2688404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486111"/>
        <c:crosses val="autoZero"/>
        <c:auto val="1"/>
        <c:lblAlgn val="ctr"/>
        <c:lblOffset val="100"/>
        <c:noMultiLvlLbl val="0"/>
      </c:catAx>
      <c:valAx>
        <c:axId val="314486111"/>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840463"/>
        <c:crosses val="autoZero"/>
        <c:crossBetween val="between"/>
      </c:valAx>
      <c:spPr>
        <a:noFill/>
        <a:ln>
          <a:noFill/>
        </a:ln>
        <a:effectLst/>
      </c:spPr>
    </c:plotArea>
    <c:legend>
      <c:legendPos val="r"/>
      <c:layout>
        <c:manualLayout>
          <c:xMode val="edge"/>
          <c:yMode val="edge"/>
          <c:x val="0.81831474190726172"/>
          <c:y val="8.1515748031496055E-2"/>
          <c:w val="0.14989137692800994"/>
          <c:h val="0.129051472732575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[new_sales_dataset.xlsx]Sheet2!PivotTable2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Category wise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Sheet2!$A$4:$A$8</c:f>
              <c:strCache>
                <c:ptCount val="5"/>
                <c:pt idx="0">
                  <c:v>Clothing</c:v>
                </c:pt>
                <c:pt idx="1">
                  <c:v>Electronics</c:v>
                </c:pt>
                <c:pt idx="2">
                  <c:v>Furniture</c:v>
                </c:pt>
                <c:pt idx="3">
                  <c:v>Grocery</c:v>
                </c:pt>
                <c:pt idx="4">
                  <c:v>Toys</c:v>
                </c:pt>
              </c:strCache>
            </c:strRef>
          </c:cat>
          <c:val>
            <c:numRef>
              <c:f>Sheet2!$B$4:$B$8</c:f>
              <c:numCache>
                <c:formatCode>General</c:formatCode>
                <c:ptCount val="5"/>
                <c:pt idx="0">
                  <c:v>26585</c:v>
                </c:pt>
                <c:pt idx="1">
                  <c:v>32247</c:v>
                </c:pt>
                <c:pt idx="2">
                  <c:v>79081</c:v>
                </c:pt>
                <c:pt idx="3">
                  <c:v>65572</c:v>
                </c:pt>
                <c:pt idx="4">
                  <c:v>40154</c:v>
                </c:pt>
              </c:numCache>
            </c:numRef>
          </c:val>
          <c:extLst>
            <c:ext xmlns:c16="http://schemas.microsoft.com/office/drawing/2014/chart" uri="{C3380CC4-5D6E-409C-BE32-E72D297353CC}">
              <c16:uniqueId val="{00000000-1B99-4CBB-981A-C2E8F038BBF1}"/>
            </c:ext>
          </c:extLst>
        </c:ser>
        <c:dLbls>
          <c:dLblPos val="inEnd"/>
          <c:showLegendKey val="0"/>
          <c:showVal val="1"/>
          <c:showCatName val="0"/>
          <c:showSerName val="0"/>
          <c:showPercent val="0"/>
          <c:showBubbleSize val="0"/>
        </c:dLbls>
        <c:gapWidth val="115"/>
        <c:overlap val="-20"/>
        <c:axId val="1593955183"/>
        <c:axId val="1532475631"/>
      </c:barChart>
      <c:catAx>
        <c:axId val="159395518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475631"/>
        <c:crosses val="autoZero"/>
        <c:auto val="1"/>
        <c:lblAlgn val="ctr"/>
        <c:lblOffset val="100"/>
        <c:noMultiLvlLbl val="0"/>
      </c:catAx>
      <c:valAx>
        <c:axId val="1532475631"/>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955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[new_sales_dataset.xlsx]Sheet6!PivotTable6</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Discount vs Revenue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Sheet6!$B$3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Sheet6!$A$4:$A$8</c:f>
              <c:strCache>
                <c:ptCount val="4"/>
                <c:pt idx="0">
                  <c:v>0</c:v>
                </c:pt>
                <c:pt idx="1">
                  <c:v>5</c:v>
                </c:pt>
                <c:pt idx="2">
                  <c:v>10</c:v>
                </c:pt>
                <c:pt idx="3">
                  <c:v>15</c:v>
                </c:pt>
              </c:strCache>
            </c:strRef>
          </c:cat>
          <c:val>
            <c:numRef>
              <c:f>Sheet6!$B$4:$B$8</c:f>
              <c:numCache>
                <c:formatCode>General</c:formatCode>
                <c:ptCount val="4"/>
                <c:pt idx="0">
                  <c:v>144433</c:v>
                </c:pt>
                <c:pt idx="1">
                  <c:v>38811</c:v>
                </c:pt>
                <c:pt idx="2">
                  <c:v>31959</c:v>
                </c:pt>
                <c:pt idx="3">
                  <c:v>28436</c:v>
                </c:pt>
              </c:numCache>
            </c:numRef>
          </c:val>
          <c:extLst>
            <c:ext xmlns:c16="http://schemas.microsoft.com/office/drawing/2014/chart" uri="{C3380CC4-5D6E-409C-BE32-E72D297353CC}">
              <c16:uniqueId val="{00000000-7253-45D8-A812-8837FBC8E7A4}"/>
            </c:ext>
          </c:extLst>
        </c:ser>
        <c:dLbls>
          <c:showLegendKey val="0"/>
          <c:showVal val="1"/>
          <c:showCatName val="0"/>
          <c:showSerName val="0"/>
          <c:showPercent val="0"/>
          <c:showBubbleSize val="0"/>
        </c:dLbls>
        <c:gapWidth val="150"/>
        <c:shape val="box"/>
        <c:axId val="310327951"/>
        <c:axId val="1579792927"/>
        <c:axId val="0"/>
      </c:bar3DChart>
      <c:catAx>
        <c:axId val="3103279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792927"/>
        <c:crosses val="autoZero"/>
        <c:auto val="1"/>
        <c:lblAlgn val="ctr"/>
        <c:lblOffset val="100"/>
        <c:noMultiLvlLbl val="0"/>
      </c:catAx>
      <c:valAx>
        <c:axId val="1579792927"/>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27951"/>
        <c:crosses val="autoZero"/>
        <c:crossBetween val="between"/>
      </c:valAx>
      <c:spPr>
        <a:noFill/>
        <a:ln>
          <a:noFill/>
        </a:ln>
        <a:effectLst/>
      </c:spPr>
    </c:plotArea>
    <c:legend>
      <c:legendPos val="r"/>
      <c:layout>
        <c:manualLayout>
          <c:xMode val="edge"/>
          <c:yMode val="edge"/>
          <c:x val="0.76275918635170603"/>
          <c:y val="0.19827500729075531"/>
          <c:w val="9.5574146981627292E-2"/>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[new_sales_dataset.xlsx]Sheet7!PivotTable7</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Price Sensitivity Analysis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Sheet7!$B$3</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Sheet7!$A$4:$A$10</c:f>
              <c:strCache>
                <c:ptCount val="6"/>
                <c:pt idx="0">
                  <c:v>0</c:v>
                </c:pt>
                <c:pt idx="1">
                  <c:v>1</c:v>
                </c:pt>
                <c:pt idx="2">
                  <c:v>2</c:v>
                </c:pt>
                <c:pt idx="3">
                  <c:v>3</c:v>
                </c:pt>
                <c:pt idx="4">
                  <c:v>4</c:v>
                </c:pt>
                <c:pt idx="5">
                  <c:v>5</c:v>
                </c:pt>
              </c:strCache>
            </c:strRef>
          </c:cat>
          <c:val>
            <c:numRef>
              <c:f>Sheet7!$B$4:$B$10</c:f>
              <c:numCache>
                <c:formatCode>General</c:formatCode>
                <c:ptCount val="6"/>
                <c:pt idx="0">
                  <c:v>13876</c:v>
                </c:pt>
                <c:pt idx="1">
                  <c:v>6928</c:v>
                </c:pt>
                <c:pt idx="2">
                  <c:v>28723</c:v>
                </c:pt>
                <c:pt idx="3">
                  <c:v>19887</c:v>
                </c:pt>
                <c:pt idx="4">
                  <c:v>15536</c:v>
                </c:pt>
                <c:pt idx="5">
                  <c:v>11492</c:v>
                </c:pt>
              </c:numCache>
            </c:numRef>
          </c:val>
          <c:smooth val="0"/>
          <c:extLst>
            <c:ext xmlns:c16="http://schemas.microsoft.com/office/drawing/2014/chart" uri="{C3380CC4-5D6E-409C-BE32-E72D297353CC}">
              <c16:uniqueId val="{00000000-1BF3-4926-B40D-70D9A040B741}"/>
            </c:ext>
          </c:extLst>
        </c:ser>
        <c:dLbls>
          <c:dLblPos val="t"/>
          <c:showLegendKey val="0"/>
          <c:showVal val="1"/>
          <c:showCatName val="0"/>
          <c:showSerName val="0"/>
          <c:showPercent val="0"/>
          <c:showBubbleSize val="0"/>
        </c:dLbls>
        <c:marker val="1"/>
        <c:smooth val="0"/>
        <c:axId val="1587723567"/>
        <c:axId val="1579799583"/>
      </c:lineChart>
      <c:catAx>
        <c:axId val="15877235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799583"/>
        <c:crosses val="autoZero"/>
        <c:auto val="1"/>
        <c:lblAlgn val="ctr"/>
        <c:lblOffset val="100"/>
        <c:noMultiLvlLbl val="0"/>
      </c:catAx>
      <c:valAx>
        <c:axId val="1579799583"/>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723567"/>
        <c:crosses val="autoZero"/>
        <c:crossBetween val="between"/>
      </c:valAx>
      <c:spPr>
        <a:noFill/>
        <a:ln>
          <a:noFill/>
        </a:ln>
        <a:effectLst/>
      </c:spPr>
    </c:plotArea>
    <c:legend>
      <c:legendPos val="r"/>
      <c:layout>
        <c:manualLayout>
          <c:xMode val="edge"/>
          <c:yMode val="edge"/>
          <c:x val="0.67077734033245839"/>
          <c:y val="0.19364537766112569"/>
          <c:w val="0.148667104111986"/>
          <c:h val="6.88662875473898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[new_sales_dataset.xlsx]Sheet8!PivotTable8</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Category vs Order_id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Sheet8!$B$3</c:f>
              <c:strCache>
                <c:ptCount val="1"/>
                <c:pt idx="0">
                  <c:v>Total</c:v>
                </c:pt>
              </c:strCache>
            </c:strRef>
          </c:tx>
          <c:dPt>
            <c:idx val="0"/>
            <c:bubble3D val="0"/>
            <c:spPr>
              <a:solidFill>
                <a:schemeClr val="accent6">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0FD-47E3-A010-14F8970355E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Sheet8!$A$4:$A$8</c:f>
              <c:strCache>
                <c:ptCount val="5"/>
                <c:pt idx="0">
                  <c:v>Clothing</c:v>
                </c:pt>
                <c:pt idx="1">
                  <c:v>Electronics</c:v>
                </c:pt>
                <c:pt idx="2">
                  <c:v>Furniture</c:v>
                </c:pt>
                <c:pt idx="3">
                  <c:v>Grocery</c:v>
                </c:pt>
                <c:pt idx="4">
                  <c:v>Toys</c:v>
                </c:pt>
              </c:strCache>
            </c:strRef>
          </c:cat>
          <c:val>
            <c:numRef>
              <c:f>Sheet8!$B$4:$B$8</c:f>
              <c:numCache>
                <c:formatCode>General</c:formatCode>
                <c:ptCount val="5"/>
                <c:pt idx="0">
                  <c:v>82</c:v>
                </c:pt>
                <c:pt idx="1">
                  <c:v>106</c:v>
                </c:pt>
                <c:pt idx="2">
                  <c:v>250</c:v>
                </c:pt>
                <c:pt idx="3">
                  <c:v>134</c:v>
                </c:pt>
                <c:pt idx="4">
                  <c:v>289</c:v>
                </c:pt>
              </c:numCache>
            </c:numRef>
          </c:val>
          <c:extLst>
            <c:ext xmlns:c16="http://schemas.microsoft.com/office/drawing/2014/chart" uri="{C3380CC4-5D6E-409C-BE32-E72D297353CC}">
              <c16:uniqueId val="{00000000-A0FD-47E3-A010-14F8970355E2}"/>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0405373188156606"/>
          <c:y val="0.51785724701079028"/>
          <c:w val="0.17176480709516692"/>
          <c:h val="0.390627734033245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228600</xdr:colOff>
      <xdr:row>1</xdr:row>
      <xdr:rowOff>107950</xdr:rowOff>
    </xdr:from>
    <xdr:to>
      <xdr:col>10</xdr:col>
      <xdr:colOff>352425</xdr:colOff>
      <xdr:row>13</xdr:row>
      <xdr:rowOff>152400</xdr:rowOff>
    </xdr:to>
    <xdr:graphicFrame macro="">
      <xdr:nvGraphicFramePr>
        <xdr:cNvPr id="2" name="Chart 1">
          <a:extLst>
            <a:ext uri="{FF2B5EF4-FFF2-40B4-BE49-F238E27FC236}">
              <a16:creationId xmlns:a16="http://schemas.microsoft.com/office/drawing/2014/main" id="{3262B28D-D180-4D37-BB0C-7AD679A38F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451162</xdr:colOff>
      <xdr:row>1</xdr:row>
      <xdr:rowOff>110240</xdr:rowOff>
    </xdr:from>
    <xdr:to>
      <xdr:col>16</xdr:col>
      <xdr:colOff>541468</xdr:colOff>
      <xdr:row>13</xdr:row>
      <xdr:rowOff>183317</xdr:rowOff>
    </xdr:to>
    <xdr:graphicFrame macro="">
      <xdr:nvGraphicFramePr>
        <xdr:cNvPr id="3" name="Chart 2">
          <a:extLst>
            <a:ext uri="{FF2B5EF4-FFF2-40B4-BE49-F238E27FC236}">
              <a16:creationId xmlns:a16="http://schemas.microsoft.com/office/drawing/2014/main" id="{FEF162D8-3F25-43B9-8DE8-5E4E05039A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228600</xdr:colOff>
      <xdr:row>14</xdr:row>
      <xdr:rowOff>95250</xdr:rowOff>
    </xdr:from>
    <xdr:to>
      <xdr:col>10</xdr:col>
      <xdr:colOff>342900</xdr:colOff>
      <xdr:row>28</xdr:row>
      <xdr:rowOff>76200</xdr:rowOff>
    </xdr:to>
    <xdr:graphicFrame macro="">
      <xdr:nvGraphicFramePr>
        <xdr:cNvPr id="4" name="Chart 3">
          <a:extLst>
            <a:ext uri="{FF2B5EF4-FFF2-40B4-BE49-F238E27FC236}">
              <a16:creationId xmlns:a16="http://schemas.microsoft.com/office/drawing/2014/main" id="{1708A3E0-D147-4981-AD99-AF5F99617A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458035</xdr:colOff>
      <xdr:row>14</xdr:row>
      <xdr:rowOff>107950</xdr:rowOff>
    </xdr:from>
    <xdr:to>
      <xdr:col>16</xdr:col>
      <xdr:colOff>527884</xdr:colOff>
      <xdr:row>28</xdr:row>
      <xdr:rowOff>82550</xdr:rowOff>
    </xdr:to>
    <xdr:graphicFrame macro="">
      <xdr:nvGraphicFramePr>
        <xdr:cNvPr id="5" name="Chart 4">
          <a:extLst>
            <a:ext uri="{FF2B5EF4-FFF2-40B4-BE49-F238E27FC236}">
              <a16:creationId xmlns:a16="http://schemas.microsoft.com/office/drawing/2014/main" id="{E8E8B46D-2CAE-41A0-8E9B-8C6BD2B69F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156148</xdr:colOff>
      <xdr:row>7</xdr:row>
      <xdr:rowOff>104100</xdr:rowOff>
    </xdr:from>
    <xdr:to>
      <xdr:col>23</xdr:col>
      <xdr:colOff>551721</xdr:colOff>
      <xdr:row>22</xdr:row>
      <xdr:rowOff>36644</xdr:rowOff>
    </xdr:to>
    <xdr:graphicFrame macro="">
      <xdr:nvGraphicFramePr>
        <xdr:cNvPr id="6" name="Chart 5">
          <a:extLst>
            <a:ext uri="{FF2B5EF4-FFF2-40B4-BE49-F238E27FC236}">
              <a16:creationId xmlns:a16="http://schemas.microsoft.com/office/drawing/2014/main" id="{0B6C41D2-4026-4E7D-B750-FD42C6C80E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83277</xdr:colOff>
      <xdr:row>21</xdr:row>
      <xdr:rowOff>31230</xdr:rowOff>
    </xdr:from>
    <xdr:to>
      <xdr:col>4</xdr:col>
      <xdr:colOff>72868</xdr:colOff>
      <xdr:row>30</xdr:row>
      <xdr:rowOff>41641</xdr:rowOff>
    </xdr:to>
    <mc:AlternateContent xmlns:mc="http://schemas.openxmlformats.org/markup-compatibility/2006">
      <mc:Choice xmlns:a14="http://schemas.microsoft.com/office/drawing/2010/main" Requires="a14">
        <xdr:graphicFrame macro="">
          <xdr:nvGraphicFramePr>
            <xdr:cNvPr id="7" name="payment_mode 1">
              <a:extLst>
                <a:ext uri="{FF2B5EF4-FFF2-40B4-BE49-F238E27FC236}">
                  <a16:creationId xmlns:a16="http://schemas.microsoft.com/office/drawing/2014/main" id="{1CD8496F-DBB4-4009-BAC6-37FC706E2DB1}"/>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dr:sp macro="" textlink="">
          <xdr:nvSpPr>
            <xdr:cNvPr id="0" name=""/>
            <xdr:cNvSpPr>
              <a:spLocks noTextEdit="1"/>
            </xdr:cNvSpPr>
          </xdr:nvSpPr>
          <xdr:spPr>
            <a:xfrm>
              <a:off x="83277" y="3817711"/>
              <a:ext cx="2435517" cy="16331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62458</xdr:colOff>
      <xdr:row>1</xdr:row>
      <xdr:rowOff>93689</xdr:rowOff>
    </xdr:from>
    <xdr:to>
      <xdr:col>4</xdr:col>
      <xdr:colOff>114509</xdr:colOff>
      <xdr:row>20</xdr:row>
      <xdr:rowOff>114508</xdr:rowOff>
    </xdr:to>
    <mc:AlternateContent xmlns:mc="http://schemas.openxmlformats.org/markup-compatibility/2006">
      <mc:Choice xmlns:a14="http://schemas.microsoft.com/office/drawing/2010/main" Requires="a14">
        <xdr:graphicFrame macro="">
          <xdr:nvGraphicFramePr>
            <xdr:cNvPr id="8" name="Months 1">
              <a:extLst>
                <a:ext uri="{FF2B5EF4-FFF2-40B4-BE49-F238E27FC236}">
                  <a16:creationId xmlns:a16="http://schemas.microsoft.com/office/drawing/2014/main" id="{235E1A3C-809E-4E58-A287-F29A79B75E0B}"/>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dr:sp macro="" textlink="">
          <xdr:nvSpPr>
            <xdr:cNvPr id="0" name=""/>
            <xdr:cNvSpPr>
              <a:spLocks noTextEdit="1"/>
            </xdr:cNvSpPr>
          </xdr:nvSpPr>
          <xdr:spPr>
            <a:xfrm>
              <a:off x="62458" y="273998"/>
              <a:ext cx="2497977" cy="34466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104775</xdr:colOff>
      <xdr:row>5</xdr:row>
      <xdr:rowOff>50800</xdr:rowOff>
    </xdr:from>
    <xdr:to>
      <xdr:col>9</xdr:col>
      <xdr:colOff>228600</xdr:colOff>
      <xdr:row>17</xdr:row>
      <xdr:rowOff>95250</xdr:rowOff>
    </xdr:to>
    <xdr:graphicFrame macro="">
      <xdr:nvGraphicFramePr>
        <xdr:cNvPr id="2" name="Chart 1">
          <a:extLst>
            <a:ext uri="{FF2B5EF4-FFF2-40B4-BE49-F238E27FC236}">
              <a16:creationId xmlns:a16="http://schemas.microsoft.com/office/drawing/2014/main" id="{A10A0C11-A7AF-41AC-86EB-3349518752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104775</xdr:colOff>
      <xdr:row>6</xdr:row>
      <xdr:rowOff>50800</xdr:rowOff>
    </xdr:from>
    <xdr:to>
      <xdr:col>9</xdr:col>
      <xdr:colOff>190500</xdr:colOff>
      <xdr:row>18</xdr:row>
      <xdr:rowOff>120650</xdr:rowOff>
    </xdr:to>
    <xdr:graphicFrame macro="">
      <xdr:nvGraphicFramePr>
        <xdr:cNvPr id="2" name="Chart 1">
          <a:extLst>
            <a:ext uri="{FF2B5EF4-FFF2-40B4-BE49-F238E27FC236}">
              <a16:creationId xmlns:a16="http://schemas.microsoft.com/office/drawing/2014/main" id="{15645171-8F71-49B7-A8BD-C4AD3FE63C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104775</xdr:colOff>
      <xdr:row>5</xdr:row>
      <xdr:rowOff>50800</xdr:rowOff>
    </xdr:from>
    <xdr:to>
      <xdr:col>10</xdr:col>
      <xdr:colOff>409575</xdr:colOff>
      <xdr:row>20</xdr:row>
      <xdr:rowOff>31750</xdr:rowOff>
    </xdr:to>
    <xdr:graphicFrame macro="">
      <xdr:nvGraphicFramePr>
        <xdr:cNvPr id="2" name="Chart 1">
          <a:extLst>
            <a:ext uri="{FF2B5EF4-FFF2-40B4-BE49-F238E27FC236}">
              <a16:creationId xmlns:a16="http://schemas.microsoft.com/office/drawing/2014/main" id="{F32855E0-9F8F-484B-8851-3777E33312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390525</xdr:colOff>
      <xdr:row>5</xdr:row>
      <xdr:rowOff>50800</xdr:rowOff>
    </xdr:from>
    <xdr:to>
      <xdr:col>9</xdr:col>
      <xdr:colOff>101600</xdr:colOff>
      <xdr:row>20</xdr:row>
      <xdr:rowOff>31750</xdr:rowOff>
    </xdr:to>
    <xdr:graphicFrame macro="">
      <xdr:nvGraphicFramePr>
        <xdr:cNvPr id="2" name="Chart 1">
          <a:extLst>
            <a:ext uri="{FF2B5EF4-FFF2-40B4-BE49-F238E27FC236}">
              <a16:creationId xmlns:a16="http://schemas.microsoft.com/office/drawing/2014/main" id="{91828ED6-96A2-44DA-A2E5-234CFAD188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787399</xdr:colOff>
      <xdr:row>5</xdr:row>
      <xdr:rowOff>50800</xdr:rowOff>
    </xdr:from>
    <xdr:to>
      <xdr:col>9</xdr:col>
      <xdr:colOff>241300</xdr:colOff>
      <xdr:row>20</xdr:row>
      <xdr:rowOff>31750</xdr:rowOff>
    </xdr:to>
    <xdr:graphicFrame macro="">
      <xdr:nvGraphicFramePr>
        <xdr:cNvPr id="2" name="Chart 1">
          <a:extLst>
            <a:ext uri="{FF2B5EF4-FFF2-40B4-BE49-F238E27FC236}">
              <a16:creationId xmlns:a16="http://schemas.microsoft.com/office/drawing/2014/main" id="{2CBE48B1-E595-4B43-A446-DB0EA98E68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419100</xdr:colOff>
      <xdr:row>6</xdr:row>
      <xdr:rowOff>6351</xdr:rowOff>
    </xdr:from>
    <xdr:to>
      <xdr:col>9</xdr:col>
      <xdr:colOff>419100</xdr:colOff>
      <xdr:row>14</xdr:row>
      <xdr:rowOff>38101</xdr:rowOff>
    </xdr:to>
    <mc:AlternateContent xmlns:mc="http://schemas.openxmlformats.org/markup-compatibility/2006">
      <mc:Choice xmlns:a14="http://schemas.microsoft.com/office/drawing/2010/main" Requires="a14">
        <xdr:graphicFrame macro="">
          <xdr:nvGraphicFramePr>
            <xdr:cNvPr id="2" name="payment_mode">
              <a:extLst>
                <a:ext uri="{FF2B5EF4-FFF2-40B4-BE49-F238E27FC236}">
                  <a16:creationId xmlns:a16="http://schemas.microsoft.com/office/drawing/2014/main" id="{9BD0AB50-09BA-4589-87B9-5DD9C9B88033}"/>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dr:sp macro="" textlink="">
          <xdr:nvSpPr>
            <xdr:cNvPr id="0" name=""/>
            <xdr:cNvSpPr>
              <a:spLocks noTextEdit="1"/>
            </xdr:cNvSpPr>
          </xdr:nvSpPr>
          <xdr:spPr>
            <a:xfrm>
              <a:off x="4076700" y="1111251"/>
              <a:ext cx="1828800" cy="1504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82550</xdr:colOff>
      <xdr:row>5</xdr:row>
      <xdr:rowOff>177800</xdr:rowOff>
    </xdr:from>
    <xdr:to>
      <xdr:col>5</xdr:col>
      <xdr:colOff>82550</xdr:colOff>
      <xdr:row>19</xdr:row>
      <xdr:rowOff>123825</xdr:rowOff>
    </xdr:to>
    <mc:AlternateContent xmlns:mc="http://schemas.openxmlformats.org/markup-compatibility/2006">
      <mc:Choice xmlns:a14="http://schemas.microsoft.com/office/drawing/2010/main" Requires="a14">
        <xdr:graphicFrame macro="">
          <xdr:nvGraphicFramePr>
            <xdr:cNvPr id="3" name="Months">
              <a:extLst>
                <a:ext uri="{FF2B5EF4-FFF2-40B4-BE49-F238E27FC236}">
                  <a16:creationId xmlns:a16="http://schemas.microsoft.com/office/drawing/2014/main" id="{566D8E6F-D13F-4A66-A31C-6FB431C5AB8F}"/>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1555750" y="1098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arshan Nagpure" refreshedDate="46066.384682060183" createdVersion="6" refreshedVersion="6" minRefreshableVersion="3" recordCount="41">
  <cacheSource type="worksheet">
    <worksheetSource name="Table1"/>
  </cacheSource>
  <cacheFields count="11">
    <cacheField name="order_id" numFmtId="1">
      <sharedItems containsSemiMixedTypes="0" containsString="0" containsNumber="1" containsInteger="1" minValue="1" maxValue="41" count="41">
        <n v="1"/>
        <n v="2"/>
        <n v="3"/>
        <n v="4"/>
        <n v="5"/>
        <n v="6"/>
        <n v="7"/>
        <n v="8"/>
        <n v="9"/>
        <n v="10"/>
        <n v="11"/>
        <n v="12"/>
        <n v="13"/>
        <n v="14"/>
        <n v="15"/>
        <n v="16"/>
        <n v="17"/>
        <n v="18"/>
        <n v="19"/>
        <n v="20"/>
        <n v="21"/>
        <n v="22"/>
        <n v="23"/>
        <n v="24"/>
        <n v="25"/>
        <n v="26"/>
        <n v="27"/>
        <n v="28"/>
        <n v="29"/>
        <n v="30"/>
        <n v="31"/>
        <n v="32"/>
        <n v="33"/>
        <n v="34"/>
        <n v="35"/>
        <n v="36"/>
        <n v="37"/>
        <n v="38"/>
        <n v="39"/>
        <n v="40"/>
        <n v="41"/>
      </sharedItems>
    </cacheField>
    <cacheField name="customer_name" numFmtId="0">
      <sharedItems/>
    </cacheField>
    <cacheField name="city" numFmtId="0">
      <sharedItems count="7">
        <s v="Bangalore"/>
        <s v="Mumbai"/>
        <s v="Pune"/>
        <s v="Chennai"/>
        <s v="Nagpur"/>
        <s v="Delhi"/>
        <s v="Hyderabad"/>
      </sharedItems>
    </cacheField>
    <cacheField name="category" numFmtId="0">
      <sharedItems count="5">
        <s v="Electronics"/>
        <s v="Grocery"/>
        <s v="Furniture"/>
        <s v="Toys"/>
        <s v="Clothing"/>
      </sharedItems>
    </cacheField>
    <cacheField name="product_price" numFmtId="166">
      <sharedItems containsSemiMixedTypes="0" containsString="0" containsNumber="1" containsInteger="1" minValue="183" maxValue="4820" count="41">
        <n v="3863"/>
        <n v="3010"/>
        <n v="1243"/>
        <n v="4258"/>
        <n v="259"/>
        <n v="666"/>
        <n v="2146"/>
        <n v="568"/>
        <n v="656"/>
        <n v="3854"/>
        <n v="2434"/>
        <n v="2552"/>
        <n v="2832"/>
        <n v="1321"/>
        <n v="2144"/>
        <n v="3477"/>
        <n v="4588"/>
        <n v="3722"/>
        <n v="1892"/>
        <n v="2719"/>
        <n v="1145"/>
        <n v="1733"/>
        <n v="3121"/>
        <n v="1091"/>
        <n v="183"/>
        <n v="241"/>
        <n v="4489"/>
        <n v="2891"/>
        <n v="2267"/>
        <n v="758"/>
        <n v="4820"/>
        <n v="4599"/>
        <n v="2288"/>
        <n v="3262"/>
        <n v="3356"/>
        <n v="660"/>
        <n v="3475"/>
        <n v="1272"/>
        <n v="2348"/>
        <n v="2986"/>
        <n v="1253"/>
      </sharedItems>
    </cacheField>
    <cacheField name="quantity" numFmtId="0">
      <sharedItems containsSemiMixedTypes="0" containsString="0" containsNumber="1" containsInteger="1" minValue="0" maxValue="5" count="6">
        <n v="4"/>
        <n v="0"/>
        <n v="2"/>
        <n v="3"/>
        <n v="5"/>
        <n v="1"/>
      </sharedItems>
    </cacheField>
    <cacheField name="order_date" numFmtId="14">
      <sharedItems containsSemiMixedTypes="0" containsNonDate="0" containsDate="1" containsString="0" minDate="2024-01-19T00:00:00" maxDate="2024-12-18T00:00:00" count="40">
        <d v="2024-02-10T00:00:00"/>
        <d v="2024-05-16T00:00:00"/>
        <d v="2024-10-14T00:00:00"/>
        <d v="2024-07-10T00:00:00"/>
        <d v="2024-06-06T00:00:00"/>
        <d v="2024-12-03T00:00:00"/>
        <d v="2024-10-08T00:00:00"/>
        <d v="2024-09-01T00:00:00"/>
        <d v="2024-03-02T00:00:00"/>
        <d v="2024-10-02T00:00:00"/>
        <d v="2024-10-05T00:00:00"/>
        <d v="2024-05-15T00:00:00"/>
        <d v="2024-05-14T00:00:00"/>
        <d v="2024-10-25T00:00:00"/>
        <d v="2024-10-13T00:00:00"/>
        <d v="2024-06-19T00:00:00"/>
        <d v="2024-05-26T00:00:00"/>
        <d v="2024-08-30T00:00:00"/>
        <d v="2024-09-22T00:00:00"/>
        <d v="2024-03-18T00:00:00"/>
        <d v="2024-10-30T00:00:00"/>
        <d v="2024-03-19T00:00:00"/>
        <d v="2024-11-06T00:00:00"/>
        <d v="2024-09-29T00:00:00"/>
        <d v="2024-05-03T00:00:00"/>
        <d v="2024-04-23T00:00:00"/>
        <d v="2024-04-20T00:00:00"/>
        <d v="2024-05-09T00:00:00"/>
        <d v="2024-05-02T00:00:00"/>
        <d v="2024-06-14T00:00:00"/>
        <d v="2024-08-28T00:00:00"/>
        <d v="2024-08-12T00:00:00"/>
        <d v="2024-06-01T00:00:00"/>
        <d v="2024-01-19T00:00:00"/>
        <d v="2024-12-11T00:00:00"/>
        <d v="2024-12-16T00:00:00"/>
        <d v="2024-03-30T00:00:00"/>
        <d v="2024-11-22T00:00:00"/>
        <d v="2024-12-17T00:00:00"/>
        <d v="2024-04-07T00:00:00"/>
      </sharedItems>
      <fieldGroup par="10" base="6">
        <rangePr groupBy="days" startDate="2024-01-19T00:00:00" endDate="2024-12-18T00:00:00"/>
        <groupItems count="368">
          <s v="&lt;19-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8-12-2024"/>
        </groupItems>
      </fieldGroup>
    </cacheField>
    <cacheField name="payment_mode" numFmtId="0">
      <sharedItems count="4">
        <s v="Card"/>
        <s v="UPI"/>
        <s v="Cash"/>
        <s v="NULL"/>
      </sharedItems>
    </cacheField>
    <cacheField name="discount_percent" numFmtId="0">
      <sharedItems containsSemiMixedTypes="0" containsString="0" containsNumber="1" containsInteger="1" minValue="0" maxValue="15" count="4">
        <n v="0"/>
        <n v="15"/>
        <n v="5"/>
        <n v="10"/>
      </sharedItems>
    </cacheField>
    <cacheField name="Revenue" numFmtId="0">
      <sharedItems containsSemiMixedTypes="0" containsString="0" containsNumber="1" containsInteger="1" minValue="0" maxValue="18610"/>
    </cacheField>
    <cacheField name="Months" numFmtId="0" databaseField="0">
      <fieldGroup base="6">
        <rangePr groupBy="months" startDate="2024-01-19T00:00:00" endDate="2024-12-18T00:00:00"/>
        <groupItems count="14">
          <s v="&lt;19-01-2024"/>
          <s v="Jan"/>
          <s v="Feb"/>
          <s v="Mar"/>
          <s v="Apr"/>
          <s v="May"/>
          <s v="Jun"/>
          <s v="Jul"/>
          <s v="Aug"/>
          <s v="Sep"/>
          <s v="Oct"/>
          <s v="Nov"/>
          <s v="Dec"/>
          <s v="&gt;18-12-2024"/>
        </groupItems>
      </fieldGroup>
    </cacheField>
  </cacheFields>
  <extLst>
    <ext xmlns:x14="http://schemas.microsoft.com/office/spreadsheetml/2009/9/main" uri="{725AE2AE-9491-48be-B2B4-4EB974FC3084}">
      <x14:pivotCacheDefinition pivotCacheId="218839357"/>
    </ext>
  </extLst>
</pivotCacheDefinition>
</file>

<file path=xl/pivotCache/pivotCacheRecords1.xml><?xml version="1.0" encoding="utf-8"?>
<pivotCacheRecords xmlns="http://schemas.openxmlformats.org/spreadsheetml/2006/main" xmlns:r="http://schemas.openxmlformats.org/officeDocument/2006/relationships" count="41">
  <r>
    <x v="0"/>
    <s v="Priya"/>
    <x v="0"/>
    <x v="0"/>
    <x v="0"/>
    <x v="0"/>
    <x v="0"/>
    <x v="0"/>
    <x v="0"/>
    <n v="15452"/>
  </r>
  <r>
    <x v="1"/>
    <s v="Priya"/>
    <x v="1"/>
    <x v="1"/>
    <x v="1"/>
    <x v="1"/>
    <x v="1"/>
    <x v="1"/>
    <x v="0"/>
    <n v="0"/>
  </r>
  <r>
    <x v="2"/>
    <s v="Neha"/>
    <x v="1"/>
    <x v="1"/>
    <x v="2"/>
    <x v="1"/>
    <x v="2"/>
    <x v="0"/>
    <x v="0"/>
    <n v="0"/>
  </r>
  <r>
    <x v="3"/>
    <s v="Arjun"/>
    <x v="2"/>
    <x v="1"/>
    <x v="3"/>
    <x v="2"/>
    <x v="3"/>
    <x v="2"/>
    <x v="0"/>
    <n v="8516"/>
  </r>
  <r>
    <x v="4"/>
    <s v="Amit"/>
    <x v="3"/>
    <x v="2"/>
    <x v="4"/>
    <x v="3"/>
    <x v="4"/>
    <x v="2"/>
    <x v="0"/>
    <n v="777"/>
  </r>
  <r>
    <x v="5"/>
    <s v="Riya"/>
    <x v="2"/>
    <x v="2"/>
    <x v="5"/>
    <x v="2"/>
    <x v="5"/>
    <x v="3"/>
    <x v="0"/>
    <n v="1332"/>
  </r>
  <r>
    <x v="6"/>
    <s v="Karan"/>
    <x v="0"/>
    <x v="2"/>
    <x v="6"/>
    <x v="0"/>
    <x v="6"/>
    <x v="1"/>
    <x v="0"/>
    <n v="8584"/>
  </r>
  <r>
    <x v="7"/>
    <s v="Amit"/>
    <x v="4"/>
    <x v="1"/>
    <x v="7"/>
    <x v="4"/>
    <x v="7"/>
    <x v="2"/>
    <x v="0"/>
    <n v="2840"/>
  </r>
  <r>
    <x v="8"/>
    <s v="Karan"/>
    <x v="2"/>
    <x v="3"/>
    <x v="8"/>
    <x v="0"/>
    <x v="8"/>
    <x v="2"/>
    <x v="0"/>
    <n v="2624"/>
  </r>
  <r>
    <x v="9"/>
    <s v="Priya"/>
    <x v="2"/>
    <x v="0"/>
    <x v="9"/>
    <x v="5"/>
    <x v="9"/>
    <x v="2"/>
    <x v="0"/>
    <n v="3854"/>
  </r>
  <r>
    <x v="10"/>
    <s v="Riya"/>
    <x v="5"/>
    <x v="1"/>
    <x v="10"/>
    <x v="0"/>
    <x v="10"/>
    <x v="0"/>
    <x v="0"/>
    <n v="9736"/>
  </r>
  <r>
    <x v="11"/>
    <s v="Arjun"/>
    <x v="4"/>
    <x v="3"/>
    <x v="11"/>
    <x v="2"/>
    <x v="11"/>
    <x v="1"/>
    <x v="0"/>
    <n v="5104"/>
  </r>
  <r>
    <x v="12"/>
    <s v="Rahul"/>
    <x v="4"/>
    <x v="0"/>
    <x v="12"/>
    <x v="1"/>
    <x v="12"/>
    <x v="2"/>
    <x v="1"/>
    <n v="0"/>
  </r>
  <r>
    <x v="13"/>
    <s v="Amit"/>
    <x v="2"/>
    <x v="0"/>
    <x v="13"/>
    <x v="3"/>
    <x v="13"/>
    <x v="2"/>
    <x v="1"/>
    <n v="3963"/>
  </r>
  <r>
    <x v="14"/>
    <s v="Amit"/>
    <x v="3"/>
    <x v="4"/>
    <x v="14"/>
    <x v="3"/>
    <x v="14"/>
    <x v="3"/>
    <x v="0"/>
    <n v="6432"/>
  </r>
  <r>
    <x v="15"/>
    <s v="Sneha"/>
    <x v="1"/>
    <x v="4"/>
    <x v="15"/>
    <x v="2"/>
    <x v="15"/>
    <x v="3"/>
    <x v="2"/>
    <n v="6954"/>
  </r>
  <r>
    <x v="16"/>
    <s v="Karan"/>
    <x v="0"/>
    <x v="2"/>
    <x v="16"/>
    <x v="3"/>
    <x v="16"/>
    <x v="2"/>
    <x v="1"/>
    <n v="13764"/>
  </r>
  <r>
    <x v="17"/>
    <s v="Priya"/>
    <x v="6"/>
    <x v="2"/>
    <x v="17"/>
    <x v="4"/>
    <x v="17"/>
    <x v="2"/>
    <x v="0"/>
    <n v="18610"/>
  </r>
  <r>
    <x v="18"/>
    <s v="Amit"/>
    <x v="2"/>
    <x v="2"/>
    <x v="18"/>
    <x v="1"/>
    <x v="18"/>
    <x v="3"/>
    <x v="0"/>
    <n v="0"/>
  </r>
  <r>
    <x v="19"/>
    <s v="Sneha"/>
    <x v="0"/>
    <x v="1"/>
    <x v="19"/>
    <x v="2"/>
    <x v="19"/>
    <x v="2"/>
    <x v="1"/>
    <n v="5438"/>
  </r>
  <r>
    <x v="20"/>
    <s v="Vikram"/>
    <x v="1"/>
    <x v="2"/>
    <x v="20"/>
    <x v="0"/>
    <x v="20"/>
    <x v="1"/>
    <x v="0"/>
    <n v="4580"/>
  </r>
  <r>
    <x v="21"/>
    <s v="Amit"/>
    <x v="4"/>
    <x v="4"/>
    <x v="21"/>
    <x v="4"/>
    <x v="21"/>
    <x v="2"/>
    <x v="2"/>
    <n v="8665"/>
  </r>
  <r>
    <x v="22"/>
    <s v="Sneha"/>
    <x v="6"/>
    <x v="1"/>
    <x v="22"/>
    <x v="4"/>
    <x v="22"/>
    <x v="1"/>
    <x v="2"/>
    <n v="15605"/>
  </r>
  <r>
    <x v="23"/>
    <s v="Riya"/>
    <x v="0"/>
    <x v="3"/>
    <x v="23"/>
    <x v="3"/>
    <x v="23"/>
    <x v="3"/>
    <x v="3"/>
    <n v="3273"/>
  </r>
  <r>
    <x v="24"/>
    <s v="Rahul"/>
    <x v="0"/>
    <x v="3"/>
    <x v="24"/>
    <x v="5"/>
    <x v="24"/>
    <x v="3"/>
    <x v="1"/>
    <n v="183"/>
  </r>
  <r>
    <x v="25"/>
    <s v="Neha"/>
    <x v="6"/>
    <x v="2"/>
    <x v="25"/>
    <x v="3"/>
    <x v="25"/>
    <x v="3"/>
    <x v="2"/>
    <n v="723"/>
  </r>
  <r>
    <x v="26"/>
    <s v="Sneha"/>
    <x v="3"/>
    <x v="0"/>
    <x v="26"/>
    <x v="2"/>
    <x v="26"/>
    <x v="3"/>
    <x v="3"/>
    <n v="8978"/>
  </r>
  <r>
    <x v="27"/>
    <s v="Neha"/>
    <x v="6"/>
    <x v="2"/>
    <x v="27"/>
    <x v="5"/>
    <x v="27"/>
    <x v="3"/>
    <x v="0"/>
    <n v="2891"/>
  </r>
  <r>
    <x v="28"/>
    <s v="Riya"/>
    <x v="5"/>
    <x v="4"/>
    <x v="28"/>
    <x v="2"/>
    <x v="28"/>
    <x v="2"/>
    <x v="0"/>
    <n v="4534"/>
  </r>
  <r>
    <x v="29"/>
    <s v="Arjun"/>
    <x v="6"/>
    <x v="2"/>
    <x v="29"/>
    <x v="0"/>
    <x v="29"/>
    <x v="0"/>
    <x v="0"/>
    <n v="3032"/>
  </r>
  <r>
    <x v="30"/>
    <s v="Pooja"/>
    <x v="4"/>
    <x v="1"/>
    <x v="30"/>
    <x v="2"/>
    <x v="30"/>
    <x v="3"/>
    <x v="3"/>
    <n v="9640"/>
  </r>
  <r>
    <x v="31"/>
    <s v="Amit"/>
    <x v="5"/>
    <x v="1"/>
    <x v="31"/>
    <x v="3"/>
    <x v="31"/>
    <x v="3"/>
    <x v="0"/>
    <n v="13797"/>
  </r>
  <r>
    <x v="32"/>
    <s v="Vikram"/>
    <x v="3"/>
    <x v="3"/>
    <x v="32"/>
    <x v="3"/>
    <x v="32"/>
    <x v="3"/>
    <x v="2"/>
    <n v="6864"/>
  </r>
  <r>
    <x v="33"/>
    <s v="Priya"/>
    <x v="6"/>
    <x v="2"/>
    <x v="33"/>
    <x v="0"/>
    <x v="33"/>
    <x v="2"/>
    <x v="0"/>
    <n v="13048"/>
  </r>
  <r>
    <x v="34"/>
    <s v="Rahul"/>
    <x v="3"/>
    <x v="3"/>
    <x v="34"/>
    <x v="3"/>
    <x v="34"/>
    <x v="3"/>
    <x v="3"/>
    <n v="10068"/>
  </r>
  <r>
    <x v="35"/>
    <s v="Neha"/>
    <x v="4"/>
    <x v="3"/>
    <x v="35"/>
    <x v="1"/>
    <x v="35"/>
    <x v="0"/>
    <x v="2"/>
    <n v="0"/>
  </r>
  <r>
    <x v="36"/>
    <s v="Karan"/>
    <x v="5"/>
    <x v="3"/>
    <x v="36"/>
    <x v="2"/>
    <x v="36"/>
    <x v="1"/>
    <x v="0"/>
    <n v="6950"/>
  </r>
  <r>
    <x v="37"/>
    <s v="Sneha"/>
    <x v="6"/>
    <x v="3"/>
    <x v="37"/>
    <x v="0"/>
    <x v="37"/>
    <x v="0"/>
    <x v="1"/>
    <n v="5088"/>
  </r>
  <r>
    <x v="38"/>
    <s v="Rahul"/>
    <x v="4"/>
    <x v="2"/>
    <x v="38"/>
    <x v="4"/>
    <x v="38"/>
    <x v="1"/>
    <x v="0"/>
    <n v="11740"/>
  </r>
  <r>
    <x v="39"/>
    <s v="Rahul"/>
    <x v="5"/>
    <x v="3"/>
    <x v="39"/>
    <x v="1"/>
    <x v="39"/>
    <x v="0"/>
    <x v="2"/>
    <n v="0"/>
  </r>
  <r>
    <x v="40"/>
    <s v="Riya"/>
    <x v="6"/>
    <x v="0"/>
    <x v="40"/>
    <x v="1"/>
    <x v="34"/>
    <x v="3"/>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9"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location ref="A3:B10" firstHeaderRow="1" firstDataRow="1" firstDataCol="1"/>
  <pivotFields count="11">
    <pivotField numFmtId="1" showAll="0"/>
    <pivotField showAll="0"/>
    <pivotField axis="axisRow" showAll="0">
      <items count="8">
        <item x="0"/>
        <item x="3"/>
        <item x="5"/>
        <item x="6"/>
        <item x="1"/>
        <item x="4"/>
        <item x="2"/>
        <item t="default"/>
      </items>
    </pivotField>
    <pivotField showAll="0"/>
    <pivotField numFmtId="166"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0"/>
        <item x="2"/>
        <item x="3"/>
        <item x="1"/>
        <item t="default"/>
      </items>
    </pivotField>
    <pivotField showAll="0"/>
    <pivotField dataField="1" showAll="0"/>
    <pivotField showAll="0">
      <items count="15">
        <item x="0"/>
        <item x="1"/>
        <item x="2"/>
        <item x="3"/>
        <item x="4"/>
        <item x="5"/>
        <item x="6"/>
        <item x="7"/>
        <item x="8"/>
        <item x="9"/>
        <item x="10"/>
        <item x="11"/>
        <item x="12"/>
        <item x="13"/>
        <item t="default"/>
      </items>
    </pivotField>
  </pivotFields>
  <rowFields count="1">
    <field x="2"/>
  </rowFields>
  <rowItems count="7">
    <i>
      <x/>
    </i>
    <i>
      <x v="1"/>
    </i>
    <i>
      <x v="2"/>
    </i>
    <i>
      <x v="3"/>
    </i>
    <i>
      <x v="4"/>
    </i>
    <i>
      <x v="5"/>
    </i>
    <i>
      <x v="6"/>
    </i>
  </rowItems>
  <colItems count="1">
    <i/>
  </colItems>
  <dataFields count="1">
    <dataField name="Sum of Revenue" fld="9"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2" cacheId="19"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location ref="A3:B8" firstHeaderRow="1" firstDataRow="1" firstDataCol="1"/>
  <pivotFields count="11">
    <pivotField numFmtId="1" showAll="0"/>
    <pivotField showAll="0"/>
    <pivotField showAll="0"/>
    <pivotField axis="axisRow" showAll="0">
      <items count="6">
        <item x="4"/>
        <item x="0"/>
        <item x="2"/>
        <item x="1"/>
        <item x="3"/>
        <item t="default"/>
      </items>
    </pivotField>
    <pivotField numFmtId="166"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0"/>
        <item x="2"/>
        <item x="3"/>
        <item x="1"/>
        <item t="default"/>
      </items>
    </pivotField>
    <pivotField showAll="0">
      <items count="5">
        <item x="0"/>
        <item x="2"/>
        <item x="3"/>
        <item x="1"/>
        <item t="default"/>
      </items>
    </pivotField>
    <pivotField dataField="1"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x v="4"/>
    </i>
  </rowItems>
  <colItems count="1">
    <i/>
  </colItems>
  <dataFields count="1">
    <dataField name="Sum of Revenue"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6"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8" firstHeaderRow="1" firstDataRow="1" firstDataCol="1"/>
  <pivotFields count="11">
    <pivotField numFmtId="1" showAll="0"/>
    <pivotField showAll="0"/>
    <pivotField showAll="0"/>
    <pivotField showAll="0"/>
    <pivotField numFmtId="166"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0"/>
        <item x="2"/>
        <item x="3"/>
        <item x="1"/>
        <item t="default"/>
      </items>
    </pivotField>
    <pivotField axis="axisRow" showAll="0">
      <items count="5">
        <item x="0"/>
        <item x="2"/>
        <item x="3"/>
        <item x="1"/>
        <item t="default"/>
      </items>
    </pivotField>
    <pivotField dataField="1" showAll="0"/>
    <pivotField showAll="0">
      <items count="15">
        <item x="0"/>
        <item x="1"/>
        <item x="2"/>
        <item x="3"/>
        <item x="4"/>
        <item x="5"/>
        <item x="6"/>
        <item x="7"/>
        <item x="8"/>
        <item x="9"/>
        <item x="10"/>
        <item x="11"/>
        <item x="12"/>
        <item x="13"/>
        <item t="default"/>
      </items>
    </pivotField>
  </pivotFields>
  <rowFields count="1">
    <field x="8"/>
  </rowFields>
  <rowItems count="5">
    <i>
      <x/>
    </i>
    <i>
      <x v="1"/>
    </i>
    <i>
      <x v="2"/>
    </i>
    <i>
      <x v="3"/>
    </i>
    <i t="grand">
      <x/>
    </i>
  </rowItems>
  <colItems count="1">
    <i/>
  </colItems>
  <dataFields count="1">
    <dataField name="Sum of Revenue" fld="9" baseField="0" baseItem="0"/>
  </dataFields>
  <formats count="1">
    <format dxfId="15">
      <pivotArea field="8" type="button" dataOnly="0" labelOnly="1" outline="0" axis="axisRow"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7"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0" firstHeaderRow="1" firstDataRow="1" firstDataCol="1"/>
  <pivotFields count="11">
    <pivotField numFmtId="1" showAll="0"/>
    <pivotField showAll="0"/>
    <pivotField showAll="0"/>
    <pivotField showAll="0"/>
    <pivotField dataField="1" numFmtId="166" showAll="0">
      <items count="42">
        <item x="24"/>
        <item x="25"/>
        <item x="4"/>
        <item x="7"/>
        <item x="8"/>
        <item x="35"/>
        <item x="5"/>
        <item x="29"/>
        <item x="23"/>
        <item x="20"/>
        <item x="2"/>
        <item x="40"/>
        <item x="37"/>
        <item x="13"/>
        <item x="21"/>
        <item x="18"/>
        <item x="14"/>
        <item x="6"/>
        <item x="28"/>
        <item x="32"/>
        <item x="38"/>
        <item x="10"/>
        <item x="11"/>
        <item x="19"/>
        <item x="12"/>
        <item x="27"/>
        <item x="39"/>
        <item x="1"/>
        <item x="22"/>
        <item x="33"/>
        <item x="34"/>
        <item x="36"/>
        <item x="15"/>
        <item x="17"/>
        <item x="9"/>
        <item x="0"/>
        <item x="3"/>
        <item x="26"/>
        <item x="16"/>
        <item x="31"/>
        <item x="30"/>
        <item t="default"/>
      </items>
    </pivotField>
    <pivotField axis="axisRow" showAll="0">
      <items count="7">
        <item x="1"/>
        <item x="5"/>
        <item x="2"/>
        <item x="3"/>
        <item x="0"/>
        <item x="4"/>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0"/>
        <item x="2"/>
        <item x="3"/>
        <item x="1"/>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t="grand">
      <x/>
    </i>
  </rowItems>
  <colItems count="1">
    <i/>
  </colItems>
  <dataFields count="1">
    <dataField name="Sum of product_price"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8" cacheId="19"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location ref="A3:B8" firstHeaderRow="1" firstDataRow="1" firstDataCol="1"/>
  <pivotFields count="11">
    <pivotField dataField="1" numFmtId="1"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showAll="0"/>
    <pivotField showAll="0"/>
    <pivotField axis="axisRow" showAll="0">
      <items count="6">
        <item x="4"/>
        <item x="0"/>
        <item x="2"/>
        <item x="1"/>
        <item x="3"/>
        <item t="default"/>
      </items>
    </pivotField>
    <pivotField numFmtId="166"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0"/>
        <item x="2"/>
        <item x="3"/>
        <item x="1"/>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x v="4"/>
    </i>
  </rowItems>
  <colItems count="1">
    <i/>
  </colItems>
  <dataFields count="1">
    <dataField name="Sum of order_id" fld="0" baseField="0" baseItem="0"/>
  </dataFields>
  <chartFormats count="8">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3" count="1" selected="0">
            <x v="0"/>
          </reference>
        </references>
      </pivotArea>
    </chartFormat>
    <chartFormat chart="2" format="11">
      <pivotArea type="data" outline="0" fieldPosition="0">
        <references count="2">
          <reference field="4294967294" count="1" selected="0">
            <x v="0"/>
          </reference>
          <reference field="3" count="1" selected="0">
            <x v="1"/>
          </reference>
        </references>
      </pivotArea>
    </chartFormat>
    <chartFormat chart="2" format="12">
      <pivotArea type="data" outline="0" fieldPosition="0">
        <references count="2">
          <reference field="4294967294" count="1" selected="0">
            <x v="0"/>
          </reference>
          <reference field="3" count="1" selected="0">
            <x v="2"/>
          </reference>
        </references>
      </pivotArea>
    </chartFormat>
    <chartFormat chart="2" format="13">
      <pivotArea type="data" outline="0" fieldPosition="0">
        <references count="2">
          <reference field="4294967294" count="1" selected="0">
            <x v="0"/>
          </reference>
          <reference field="3" count="1" selected="0">
            <x v="3"/>
          </reference>
        </references>
      </pivotArea>
    </chartFormat>
    <chartFormat chart="2" format="14">
      <pivotArea type="data" outline="0" fieldPosition="0">
        <references count="2">
          <reference field="4294967294" count="1" selected="0">
            <x v="0"/>
          </reference>
          <reference field="3" count="1" selected="0">
            <x v="4"/>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9"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20" firstHeaderRow="1" firstDataRow="1" firstDataCol="0"/>
  <pivotFields count="11">
    <pivotField numFmtId="1" showAll="0"/>
    <pivotField showAll="0"/>
    <pivotField showAll="0"/>
    <pivotField showAll="0"/>
    <pivotField numFmtId="166"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0"/>
        <item x="2"/>
        <item x="3"/>
        <item x="1"/>
        <item t="default"/>
      </items>
    </pivotField>
    <pivotField showAll="0"/>
    <pivotField showAll="0"/>
    <pivotField showAll="0">
      <items count="15">
        <item x="0"/>
        <item x="1"/>
        <item x="2"/>
        <item x="3"/>
        <item x="4"/>
        <item x="5"/>
        <item x="6"/>
        <item x="7"/>
        <item x="8"/>
        <item x="9"/>
        <item x="10"/>
        <item x="11"/>
        <item x="12"/>
        <item x="1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10"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16" firstHeaderRow="1" firstDataRow="1" firstDataCol="1"/>
  <pivotFields count="11">
    <pivotField numFmtId="1" showAll="0"/>
    <pivotField showAll="0"/>
    <pivotField showAll="0"/>
    <pivotField showAll="0"/>
    <pivotField numFmtId="166" showAll="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0"/>
    <field x="6"/>
  </rowFields>
  <rowItems count="13">
    <i>
      <x v="1"/>
    </i>
    <i>
      <x v="2"/>
    </i>
    <i>
      <x v="3"/>
    </i>
    <i>
      <x v="4"/>
    </i>
    <i>
      <x v="5"/>
    </i>
    <i>
      <x v="6"/>
    </i>
    <i>
      <x v="7"/>
    </i>
    <i>
      <x v="8"/>
    </i>
    <i>
      <x v="9"/>
    </i>
    <i>
      <x v="10"/>
    </i>
    <i>
      <x v="11"/>
    </i>
    <i>
      <x v="1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ayment_mode" sourceName="payment_mode">
  <pivotTables>
    <pivotTable tabId="11" name="PivotTable9"/>
    <pivotTable tabId="2" name="PivotTable1"/>
    <pivotTable tabId="3" name="PivotTable2"/>
    <pivotTable tabId="7" name="PivotTable6"/>
    <pivotTable tabId="8" name="PivotTable7"/>
    <pivotTable tabId="9" name="PivotTable8"/>
  </pivotTables>
  <data>
    <tabular pivotCacheId="218839357">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s" sourceName="Months">
  <pivotTables>
    <pivotTable tabId="12" name="PivotTable10"/>
    <pivotTable tabId="2" name="PivotTable1"/>
    <pivotTable tabId="11" name="PivotTable9"/>
    <pivotTable tabId="3" name="PivotTable2"/>
    <pivotTable tabId="7" name="PivotTable6"/>
    <pivotTable tabId="8" name="PivotTable7"/>
    <pivotTable tabId="9" name="PivotTable8"/>
  </pivotTables>
  <data>
    <tabular pivotCacheId="218839357">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ayment_mode 1" cache="Slicer_payment_mode" caption="payment_mode" rowHeight="241300"/>
  <slicer name="Months 1" cache="Slicer_Months" caption="Months"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payment_mode" cache="Slicer_payment_mode" caption="payment_mode"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Months" cache="Slicer_Months" caption="Months" rowHeight="241300"/>
</slicers>
</file>

<file path=xl/tables/table1.xml><?xml version="1.0" encoding="utf-8"?>
<table xmlns="http://schemas.openxmlformats.org/spreadsheetml/2006/main" id="1" name="Table1" displayName="Table1" ref="A1:K42" totalsRowShown="0" headerRowDxfId="23" dataDxfId="24">
  <autoFilter ref="A1:K42"/>
  <tableColumns count="11">
    <tableColumn id="1" name="order_id" dataDxfId="19"/>
    <tableColumn id="2" name="customer_name" dataDxfId="20"/>
    <tableColumn id="3" name="city" dataDxfId="28"/>
    <tableColumn id="4" name="category" dataDxfId="22"/>
    <tableColumn id="5" name="product_price" dataDxfId="17"/>
    <tableColumn id="6" name="quantity" dataDxfId="21"/>
    <tableColumn id="7" name="order_date" dataDxfId="27"/>
    <tableColumn id="12" name="Month" dataDxfId="16">
      <calculatedColumnFormula>TEXT(G2,"mmm")</calculatedColumnFormula>
    </tableColumn>
    <tableColumn id="8" name="payment_mode" dataDxfId="26"/>
    <tableColumn id="9" name="discount_percent" dataDxfId="25"/>
    <tableColumn id="10" name="Revenue" dataDxfId="18">
      <calculatedColumnFormula>E2*F2</calculatedColumnFormula>
    </tableColumn>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2"/>
  <sheetViews>
    <sheetView topLeftCell="A2" workbookViewId="0">
      <selection activeCell="A2" sqref="A2"/>
    </sheetView>
  </sheetViews>
  <sheetFormatPr defaultRowHeight="14.5" x14ac:dyDescent="0.35"/>
  <cols>
    <col min="1" max="1" width="10.81640625" style="1" customWidth="1"/>
    <col min="2" max="2" width="20" style="1" customWidth="1"/>
    <col min="3" max="3" width="16.453125" style="1" customWidth="1"/>
    <col min="4" max="4" width="15.81640625" style="1" customWidth="1"/>
    <col min="5" max="5" width="19.90625" style="5" customWidth="1"/>
    <col min="6" max="6" width="16.26953125" style="1" customWidth="1"/>
    <col min="7" max="7" width="19.36328125" style="1" customWidth="1"/>
    <col min="8" max="8" width="16.08984375" style="1" customWidth="1"/>
    <col min="9" max="9" width="17.453125" style="1" customWidth="1"/>
    <col min="10" max="10" width="11.1796875" style="7" bestFit="1" customWidth="1"/>
    <col min="11" max="11" width="15.7265625" customWidth="1"/>
  </cols>
  <sheetData>
    <row r="1" spans="1:11" x14ac:dyDescent="0.35">
      <c r="A1" s="1" t="s">
        <v>0</v>
      </c>
      <c r="B1" s="1" t="s">
        <v>1</v>
      </c>
      <c r="C1" s="1" t="s">
        <v>2</v>
      </c>
      <c r="D1" s="1" t="s">
        <v>3</v>
      </c>
      <c r="E1" s="5" t="s">
        <v>4</v>
      </c>
      <c r="F1" s="1" t="s">
        <v>5</v>
      </c>
      <c r="G1" s="1" t="s">
        <v>6</v>
      </c>
      <c r="H1" s="1" t="s">
        <v>39</v>
      </c>
      <c r="I1" s="1" t="s">
        <v>7</v>
      </c>
      <c r="J1" s="1" t="s">
        <v>8</v>
      </c>
      <c r="K1" s="6" t="s">
        <v>35</v>
      </c>
    </row>
    <row r="2" spans="1:11" x14ac:dyDescent="0.35">
      <c r="A2" s="4">
        <v>1</v>
      </c>
      <c r="B2" s="1" t="s">
        <v>9</v>
      </c>
      <c r="C2" s="1" t="s">
        <v>10</v>
      </c>
      <c r="D2" s="1" t="s">
        <v>11</v>
      </c>
      <c r="E2" s="5">
        <v>3863</v>
      </c>
      <c r="F2" s="1">
        <v>4</v>
      </c>
      <c r="G2" s="2">
        <v>45332</v>
      </c>
      <c r="H2" s="2" t="str">
        <f t="shared" ref="H2:H42" si="0">TEXT(G2,"mmm")</f>
        <v>Feb</v>
      </c>
      <c r="I2" s="1" t="s">
        <v>12</v>
      </c>
      <c r="J2" s="1">
        <v>0</v>
      </c>
      <c r="K2" s="3">
        <f>E2*F2</f>
        <v>15452</v>
      </c>
    </row>
    <row r="3" spans="1:11" x14ac:dyDescent="0.35">
      <c r="A3" s="4">
        <v>2</v>
      </c>
      <c r="B3" s="1" t="s">
        <v>9</v>
      </c>
      <c r="C3" s="1" t="s">
        <v>13</v>
      </c>
      <c r="D3" s="1" t="s">
        <v>14</v>
      </c>
      <c r="E3" s="5">
        <v>3010</v>
      </c>
      <c r="F3" s="1">
        <v>0</v>
      </c>
      <c r="G3" s="2">
        <v>45428</v>
      </c>
      <c r="H3" s="2" t="str">
        <f t="shared" si="0"/>
        <v>May</v>
      </c>
      <c r="I3" s="1" t="s">
        <v>15</v>
      </c>
      <c r="J3" s="1">
        <v>0</v>
      </c>
      <c r="K3" s="6">
        <f>E3*F3</f>
        <v>0</v>
      </c>
    </row>
    <row r="4" spans="1:11" x14ac:dyDescent="0.35">
      <c r="A4" s="4">
        <v>3</v>
      </c>
      <c r="B4" s="1" t="s">
        <v>16</v>
      </c>
      <c r="C4" s="1" t="s">
        <v>13</v>
      </c>
      <c r="D4" s="1" t="s">
        <v>14</v>
      </c>
      <c r="E4" s="5">
        <v>1243</v>
      </c>
      <c r="F4" s="1">
        <v>0</v>
      </c>
      <c r="G4" s="2">
        <v>45579</v>
      </c>
      <c r="H4" s="2" t="str">
        <f t="shared" si="0"/>
        <v>Oct</v>
      </c>
      <c r="I4" s="1" t="s">
        <v>12</v>
      </c>
      <c r="J4" s="1">
        <v>0</v>
      </c>
      <c r="K4" s="6">
        <f>E4*F4</f>
        <v>0</v>
      </c>
    </row>
    <row r="5" spans="1:11" x14ac:dyDescent="0.35">
      <c r="A5" s="4">
        <v>4</v>
      </c>
      <c r="B5" s="1" t="s">
        <v>17</v>
      </c>
      <c r="C5" s="1" t="s">
        <v>18</v>
      </c>
      <c r="D5" s="1" t="s">
        <v>14</v>
      </c>
      <c r="E5" s="5">
        <v>4258</v>
      </c>
      <c r="F5" s="1">
        <v>2</v>
      </c>
      <c r="G5" s="2">
        <v>45483</v>
      </c>
      <c r="H5" s="2" t="str">
        <f t="shared" si="0"/>
        <v>Jul</v>
      </c>
      <c r="I5" s="1" t="s">
        <v>19</v>
      </c>
      <c r="J5" s="1">
        <v>0</v>
      </c>
      <c r="K5" s="3">
        <f>E5*F5</f>
        <v>8516</v>
      </c>
    </row>
    <row r="6" spans="1:11" x14ac:dyDescent="0.35">
      <c r="A6" s="4">
        <v>5</v>
      </c>
      <c r="B6" s="1" t="s">
        <v>20</v>
      </c>
      <c r="C6" s="1" t="s">
        <v>21</v>
      </c>
      <c r="D6" s="1" t="s">
        <v>22</v>
      </c>
      <c r="E6" s="5">
        <v>259</v>
      </c>
      <c r="F6" s="1">
        <v>3</v>
      </c>
      <c r="G6" s="2">
        <v>45449</v>
      </c>
      <c r="H6" s="2" t="str">
        <f t="shared" si="0"/>
        <v>Jun</v>
      </c>
      <c r="I6" s="1" t="s">
        <v>19</v>
      </c>
      <c r="J6" s="1">
        <v>0</v>
      </c>
      <c r="K6" s="3">
        <f>E6*F6</f>
        <v>777</v>
      </c>
    </row>
    <row r="7" spans="1:11" x14ac:dyDescent="0.35">
      <c r="A7" s="4">
        <v>6</v>
      </c>
      <c r="B7" s="1" t="s">
        <v>23</v>
      </c>
      <c r="C7" s="1" t="s">
        <v>18</v>
      </c>
      <c r="D7" s="1" t="s">
        <v>22</v>
      </c>
      <c r="E7" s="5">
        <v>666</v>
      </c>
      <c r="F7" s="1">
        <v>2</v>
      </c>
      <c r="G7" s="2">
        <v>45629</v>
      </c>
      <c r="H7" s="2" t="str">
        <f t="shared" si="0"/>
        <v>Dec</v>
      </c>
      <c r="I7" s="1" t="s">
        <v>24</v>
      </c>
      <c r="J7" s="1">
        <v>0</v>
      </c>
      <c r="K7" s="3">
        <f>E7*F7</f>
        <v>1332</v>
      </c>
    </row>
    <row r="8" spans="1:11" x14ac:dyDescent="0.35">
      <c r="A8" s="4">
        <v>7</v>
      </c>
      <c r="B8" s="1" t="s">
        <v>25</v>
      </c>
      <c r="C8" s="1" t="s">
        <v>10</v>
      </c>
      <c r="D8" s="1" t="s">
        <v>22</v>
      </c>
      <c r="E8" s="5">
        <v>2146</v>
      </c>
      <c r="F8" s="1">
        <v>4</v>
      </c>
      <c r="G8" s="2">
        <v>45573</v>
      </c>
      <c r="H8" s="2" t="str">
        <f t="shared" si="0"/>
        <v>Oct</v>
      </c>
      <c r="I8" s="1" t="s">
        <v>15</v>
      </c>
      <c r="J8" s="1">
        <v>0</v>
      </c>
      <c r="K8" s="3">
        <f>E8*F8</f>
        <v>8584</v>
      </c>
    </row>
    <row r="9" spans="1:11" x14ac:dyDescent="0.35">
      <c r="A9" s="4">
        <v>8</v>
      </c>
      <c r="B9" s="1" t="s">
        <v>20</v>
      </c>
      <c r="C9" s="1" t="s">
        <v>26</v>
      </c>
      <c r="D9" s="1" t="s">
        <v>14</v>
      </c>
      <c r="E9" s="5">
        <v>568</v>
      </c>
      <c r="F9" s="1">
        <v>5</v>
      </c>
      <c r="G9" s="2">
        <v>45536</v>
      </c>
      <c r="H9" s="2" t="str">
        <f t="shared" si="0"/>
        <v>Sep</v>
      </c>
      <c r="I9" s="1" t="s">
        <v>19</v>
      </c>
      <c r="J9" s="1">
        <v>0</v>
      </c>
      <c r="K9" s="3">
        <f>E9*F9</f>
        <v>2840</v>
      </c>
    </row>
    <row r="10" spans="1:11" x14ac:dyDescent="0.35">
      <c r="A10" s="4">
        <v>9</v>
      </c>
      <c r="B10" s="1" t="s">
        <v>25</v>
      </c>
      <c r="C10" s="1" t="s">
        <v>18</v>
      </c>
      <c r="D10" s="1" t="s">
        <v>27</v>
      </c>
      <c r="E10" s="5">
        <v>656</v>
      </c>
      <c r="F10" s="1">
        <v>4</v>
      </c>
      <c r="G10" s="2">
        <v>45353</v>
      </c>
      <c r="H10" s="2" t="str">
        <f t="shared" si="0"/>
        <v>Mar</v>
      </c>
      <c r="I10" s="1" t="s">
        <v>19</v>
      </c>
      <c r="J10" s="1">
        <v>0</v>
      </c>
      <c r="K10" s="3">
        <f>E10*F10</f>
        <v>2624</v>
      </c>
    </row>
    <row r="11" spans="1:11" x14ac:dyDescent="0.35">
      <c r="A11" s="4">
        <v>10</v>
      </c>
      <c r="B11" s="1" t="s">
        <v>9</v>
      </c>
      <c r="C11" s="1" t="s">
        <v>18</v>
      </c>
      <c r="D11" s="1" t="s">
        <v>11</v>
      </c>
      <c r="E11" s="5">
        <v>3854</v>
      </c>
      <c r="F11" s="1">
        <v>1</v>
      </c>
      <c r="G11" s="2">
        <v>45567</v>
      </c>
      <c r="H11" s="2" t="str">
        <f t="shared" si="0"/>
        <v>Oct</v>
      </c>
      <c r="I11" s="1" t="s">
        <v>19</v>
      </c>
      <c r="J11" s="1">
        <v>0</v>
      </c>
      <c r="K11" s="3">
        <f>E11*F11</f>
        <v>3854</v>
      </c>
    </row>
    <row r="12" spans="1:11" x14ac:dyDescent="0.35">
      <c r="A12" s="4">
        <v>11</v>
      </c>
      <c r="B12" s="1" t="s">
        <v>23</v>
      </c>
      <c r="C12" s="1" t="s">
        <v>28</v>
      </c>
      <c r="D12" s="1" t="s">
        <v>14</v>
      </c>
      <c r="E12" s="5">
        <v>2434</v>
      </c>
      <c r="F12" s="1">
        <v>4</v>
      </c>
      <c r="G12" s="2">
        <v>45570</v>
      </c>
      <c r="H12" s="2" t="str">
        <f t="shared" si="0"/>
        <v>Oct</v>
      </c>
      <c r="I12" s="1" t="s">
        <v>12</v>
      </c>
      <c r="J12" s="1">
        <v>0</v>
      </c>
      <c r="K12" s="3">
        <f>E12*F12</f>
        <v>9736</v>
      </c>
    </row>
    <row r="13" spans="1:11" x14ac:dyDescent="0.35">
      <c r="A13" s="4">
        <v>12</v>
      </c>
      <c r="B13" s="1" t="s">
        <v>17</v>
      </c>
      <c r="C13" s="1" t="s">
        <v>26</v>
      </c>
      <c r="D13" s="1" t="s">
        <v>27</v>
      </c>
      <c r="E13" s="5">
        <v>2552</v>
      </c>
      <c r="F13" s="1">
        <v>2</v>
      </c>
      <c r="G13" s="2">
        <v>45427</v>
      </c>
      <c r="H13" s="2" t="str">
        <f t="shared" si="0"/>
        <v>May</v>
      </c>
      <c r="I13" s="1" t="s">
        <v>15</v>
      </c>
      <c r="J13" s="1">
        <v>0</v>
      </c>
      <c r="K13" s="3">
        <f>E13*F13</f>
        <v>5104</v>
      </c>
    </row>
    <row r="14" spans="1:11" x14ac:dyDescent="0.35">
      <c r="A14" s="4">
        <v>13</v>
      </c>
      <c r="B14" s="1" t="s">
        <v>29</v>
      </c>
      <c r="C14" s="1" t="s">
        <v>26</v>
      </c>
      <c r="D14" s="1" t="s">
        <v>11</v>
      </c>
      <c r="E14" s="5">
        <v>2832</v>
      </c>
      <c r="F14" s="1">
        <v>0</v>
      </c>
      <c r="G14" s="2">
        <v>45426</v>
      </c>
      <c r="H14" s="2" t="str">
        <f t="shared" si="0"/>
        <v>May</v>
      </c>
      <c r="I14" s="1" t="s">
        <v>19</v>
      </c>
      <c r="J14" s="1">
        <v>15</v>
      </c>
      <c r="K14" s="6">
        <f>E14*F14</f>
        <v>0</v>
      </c>
    </row>
    <row r="15" spans="1:11" x14ac:dyDescent="0.35">
      <c r="A15" s="4">
        <v>14</v>
      </c>
      <c r="B15" s="1" t="s">
        <v>20</v>
      </c>
      <c r="C15" s="1" t="s">
        <v>18</v>
      </c>
      <c r="D15" s="1" t="s">
        <v>11</v>
      </c>
      <c r="E15" s="5">
        <v>1321</v>
      </c>
      <c r="F15" s="1">
        <v>3</v>
      </c>
      <c r="G15" s="2">
        <v>45590</v>
      </c>
      <c r="H15" s="2" t="str">
        <f t="shared" si="0"/>
        <v>Oct</v>
      </c>
      <c r="I15" s="1" t="s">
        <v>19</v>
      </c>
      <c r="J15" s="1">
        <v>15</v>
      </c>
      <c r="K15" s="3">
        <f>E15*F15</f>
        <v>3963</v>
      </c>
    </row>
    <row r="16" spans="1:11" x14ac:dyDescent="0.35">
      <c r="A16" s="4">
        <v>15</v>
      </c>
      <c r="B16" s="1" t="s">
        <v>20</v>
      </c>
      <c r="C16" s="1" t="s">
        <v>21</v>
      </c>
      <c r="D16" s="1" t="s">
        <v>30</v>
      </c>
      <c r="E16" s="5">
        <v>2144</v>
      </c>
      <c r="F16" s="1">
        <v>3</v>
      </c>
      <c r="G16" s="2">
        <v>45578</v>
      </c>
      <c r="H16" s="2" t="str">
        <f t="shared" si="0"/>
        <v>Oct</v>
      </c>
      <c r="I16" s="1" t="s">
        <v>24</v>
      </c>
      <c r="J16" s="1">
        <v>0</v>
      </c>
      <c r="K16" s="3">
        <f>E16*F16</f>
        <v>6432</v>
      </c>
    </row>
    <row r="17" spans="1:11" x14ac:dyDescent="0.35">
      <c r="A17" s="4">
        <v>16</v>
      </c>
      <c r="B17" s="1" t="s">
        <v>31</v>
      </c>
      <c r="C17" s="1" t="s">
        <v>13</v>
      </c>
      <c r="D17" s="1" t="s">
        <v>30</v>
      </c>
      <c r="E17" s="5">
        <v>3477</v>
      </c>
      <c r="F17" s="1">
        <v>2</v>
      </c>
      <c r="G17" s="2">
        <v>45462</v>
      </c>
      <c r="H17" s="2" t="str">
        <f t="shared" si="0"/>
        <v>Jun</v>
      </c>
      <c r="I17" s="1" t="s">
        <v>24</v>
      </c>
      <c r="J17" s="1">
        <v>5</v>
      </c>
      <c r="K17" s="3">
        <f>E17*F17</f>
        <v>6954</v>
      </c>
    </row>
    <row r="18" spans="1:11" x14ac:dyDescent="0.35">
      <c r="A18" s="4">
        <v>17</v>
      </c>
      <c r="B18" s="1" t="s">
        <v>25</v>
      </c>
      <c r="C18" s="1" t="s">
        <v>10</v>
      </c>
      <c r="D18" s="1" t="s">
        <v>22</v>
      </c>
      <c r="E18" s="5">
        <v>4588</v>
      </c>
      <c r="F18" s="1">
        <v>3</v>
      </c>
      <c r="G18" s="2">
        <v>45438</v>
      </c>
      <c r="H18" s="2" t="str">
        <f t="shared" si="0"/>
        <v>May</v>
      </c>
      <c r="I18" s="1" t="s">
        <v>19</v>
      </c>
      <c r="J18" s="1">
        <v>15</v>
      </c>
      <c r="K18" s="3">
        <f>E18*F18</f>
        <v>13764</v>
      </c>
    </row>
    <row r="19" spans="1:11" x14ac:dyDescent="0.35">
      <c r="A19" s="4">
        <v>18</v>
      </c>
      <c r="B19" s="1" t="s">
        <v>9</v>
      </c>
      <c r="C19" s="1" t="s">
        <v>32</v>
      </c>
      <c r="D19" s="1" t="s">
        <v>22</v>
      </c>
      <c r="E19" s="5">
        <v>3722</v>
      </c>
      <c r="F19" s="1">
        <v>5</v>
      </c>
      <c r="G19" s="2">
        <v>45534</v>
      </c>
      <c r="H19" s="2" t="str">
        <f t="shared" si="0"/>
        <v>Aug</v>
      </c>
      <c r="I19" s="1" t="s">
        <v>19</v>
      </c>
      <c r="J19" s="1">
        <v>0</v>
      </c>
      <c r="K19" s="3">
        <f>E19*F19</f>
        <v>18610</v>
      </c>
    </row>
    <row r="20" spans="1:11" x14ac:dyDescent="0.35">
      <c r="A20" s="4">
        <v>19</v>
      </c>
      <c r="B20" s="1" t="s">
        <v>20</v>
      </c>
      <c r="C20" s="1" t="s">
        <v>18</v>
      </c>
      <c r="D20" s="1" t="s">
        <v>22</v>
      </c>
      <c r="E20" s="5">
        <v>1892</v>
      </c>
      <c r="F20" s="1">
        <v>0</v>
      </c>
      <c r="G20" s="2">
        <v>45557</v>
      </c>
      <c r="H20" s="2" t="str">
        <f t="shared" si="0"/>
        <v>Sep</v>
      </c>
      <c r="I20" s="1" t="s">
        <v>24</v>
      </c>
      <c r="J20" s="1">
        <v>0</v>
      </c>
      <c r="K20" s="6">
        <f>E20*F20</f>
        <v>0</v>
      </c>
    </row>
    <row r="21" spans="1:11" x14ac:dyDescent="0.35">
      <c r="A21" s="4">
        <v>20</v>
      </c>
      <c r="B21" s="1" t="s">
        <v>31</v>
      </c>
      <c r="C21" s="1" t="s">
        <v>10</v>
      </c>
      <c r="D21" s="1" t="s">
        <v>14</v>
      </c>
      <c r="E21" s="5">
        <v>2719</v>
      </c>
      <c r="F21" s="1">
        <v>2</v>
      </c>
      <c r="G21" s="2">
        <v>45369</v>
      </c>
      <c r="H21" s="2" t="str">
        <f t="shared" si="0"/>
        <v>Mar</v>
      </c>
      <c r="I21" s="1" t="s">
        <v>19</v>
      </c>
      <c r="J21" s="1">
        <v>15</v>
      </c>
      <c r="K21" s="3">
        <f>E21*F21</f>
        <v>5438</v>
      </c>
    </row>
    <row r="22" spans="1:11" x14ac:dyDescent="0.35">
      <c r="A22" s="4">
        <v>21</v>
      </c>
      <c r="B22" s="1" t="s">
        <v>33</v>
      </c>
      <c r="C22" s="1" t="s">
        <v>13</v>
      </c>
      <c r="D22" s="1" t="s">
        <v>22</v>
      </c>
      <c r="E22" s="5">
        <v>1145</v>
      </c>
      <c r="F22" s="1">
        <v>4</v>
      </c>
      <c r="G22" s="2">
        <v>45595</v>
      </c>
      <c r="H22" s="2" t="str">
        <f t="shared" si="0"/>
        <v>Oct</v>
      </c>
      <c r="I22" s="1" t="s">
        <v>15</v>
      </c>
      <c r="J22" s="1">
        <v>0</v>
      </c>
      <c r="K22" s="3">
        <f>E22*F22</f>
        <v>4580</v>
      </c>
    </row>
    <row r="23" spans="1:11" x14ac:dyDescent="0.35">
      <c r="A23" s="4">
        <v>22</v>
      </c>
      <c r="B23" s="1" t="s">
        <v>20</v>
      </c>
      <c r="C23" s="1" t="s">
        <v>26</v>
      </c>
      <c r="D23" s="1" t="s">
        <v>30</v>
      </c>
      <c r="E23" s="5">
        <v>1733</v>
      </c>
      <c r="F23" s="1">
        <v>5</v>
      </c>
      <c r="G23" s="2">
        <v>45370</v>
      </c>
      <c r="H23" s="2" t="str">
        <f t="shared" si="0"/>
        <v>Mar</v>
      </c>
      <c r="I23" s="1" t="s">
        <v>19</v>
      </c>
      <c r="J23" s="1">
        <v>5</v>
      </c>
      <c r="K23" s="3">
        <f>E23*F23</f>
        <v>8665</v>
      </c>
    </row>
    <row r="24" spans="1:11" x14ac:dyDescent="0.35">
      <c r="A24" s="4">
        <v>23</v>
      </c>
      <c r="B24" s="1" t="s">
        <v>31</v>
      </c>
      <c r="C24" s="1" t="s">
        <v>32</v>
      </c>
      <c r="D24" s="1" t="s">
        <v>14</v>
      </c>
      <c r="E24" s="5">
        <v>3121</v>
      </c>
      <c r="F24" s="1">
        <v>5</v>
      </c>
      <c r="G24" s="2">
        <v>45602</v>
      </c>
      <c r="H24" s="2" t="str">
        <f t="shared" si="0"/>
        <v>Nov</v>
      </c>
      <c r="I24" s="1" t="s">
        <v>15</v>
      </c>
      <c r="J24" s="1">
        <v>5</v>
      </c>
      <c r="K24" s="3">
        <f>E24*F24</f>
        <v>15605</v>
      </c>
    </row>
    <row r="25" spans="1:11" x14ac:dyDescent="0.35">
      <c r="A25" s="4">
        <v>24</v>
      </c>
      <c r="B25" s="1" t="s">
        <v>23</v>
      </c>
      <c r="C25" s="1" t="s">
        <v>10</v>
      </c>
      <c r="D25" s="1" t="s">
        <v>27</v>
      </c>
      <c r="E25" s="5">
        <v>1091</v>
      </c>
      <c r="F25" s="1">
        <v>3</v>
      </c>
      <c r="G25" s="2">
        <v>45564</v>
      </c>
      <c r="H25" s="2" t="str">
        <f t="shared" si="0"/>
        <v>Sep</v>
      </c>
      <c r="I25" s="1" t="s">
        <v>24</v>
      </c>
      <c r="J25" s="1">
        <v>10</v>
      </c>
      <c r="K25" s="3">
        <f>E25*F25</f>
        <v>3273</v>
      </c>
    </row>
    <row r="26" spans="1:11" x14ac:dyDescent="0.35">
      <c r="A26" s="4">
        <v>25</v>
      </c>
      <c r="B26" s="1" t="s">
        <v>29</v>
      </c>
      <c r="C26" s="1" t="s">
        <v>10</v>
      </c>
      <c r="D26" s="1" t="s">
        <v>27</v>
      </c>
      <c r="E26" s="5">
        <v>183</v>
      </c>
      <c r="F26" s="1">
        <v>1</v>
      </c>
      <c r="G26" s="2">
        <v>45415</v>
      </c>
      <c r="H26" s="2" t="str">
        <f t="shared" si="0"/>
        <v>May</v>
      </c>
      <c r="I26" s="1" t="s">
        <v>24</v>
      </c>
      <c r="J26" s="1">
        <v>15</v>
      </c>
      <c r="K26" s="3">
        <f>E26*F26</f>
        <v>183</v>
      </c>
    </row>
    <row r="27" spans="1:11" x14ac:dyDescent="0.35">
      <c r="A27" s="4">
        <v>26</v>
      </c>
      <c r="B27" s="1" t="s">
        <v>16</v>
      </c>
      <c r="C27" s="1" t="s">
        <v>32</v>
      </c>
      <c r="D27" s="1" t="s">
        <v>22</v>
      </c>
      <c r="E27" s="5">
        <v>241</v>
      </c>
      <c r="F27" s="1">
        <v>3</v>
      </c>
      <c r="G27" s="2">
        <v>45405</v>
      </c>
      <c r="H27" s="2" t="str">
        <f t="shared" si="0"/>
        <v>Apr</v>
      </c>
      <c r="I27" s="1" t="s">
        <v>24</v>
      </c>
      <c r="J27" s="1">
        <v>5</v>
      </c>
      <c r="K27" s="3">
        <f>E27*F27</f>
        <v>723</v>
      </c>
    </row>
    <row r="28" spans="1:11" x14ac:dyDescent="0.35">
      <c r="A28" s="4">
        <v>27</v>
      </c>
      <c r="B28" s="1" t="s">
        <v>31</v>
      </c>
      <c r="C28" s="1" t="s">
        <v>21</v>
      </c>
      <c r="D28" s="1" t="s">
        <v>11</v>
      </c>
      <c r="E28" s="5">
        <v>4489</v>
      </c>
      <c r="F28" s="1">
        <v>2</v>
      </c>
      <c r="G28" s="2">
        <v>45402</v>
      </c>
      <c r="H28" s="2" t="str">
        <f t="shared" si="0"/>
        <v>Apr</v>
      </c>
      <c r="I28" s="1" t="s">
        <v>24</v>
      </c>
      <c r="J28" s="1">
        <v>10</v>
      </c>
      <c r="K28" s="3">
        <f>E28*F28</f>
        <v>8978</v>
      </c>
    </row>
    <row r="29" spans="1:11" x14ac:dyDescent="0.35">
      <c r="A29" s="4">
        <v>28</v>
      </c>
      <c r="B29" s="1" t="s">
        <v>16</v>
      </c>
      <c r="C29" s="1" t="s">
        <v>32</v>
      </c>
      <c r="D29" s="1" t="s">
        <v>22</v>
      </c>
      <c r="E29" s="5">
        <v>2891</v>
      </c>
      <c r="F29" s="1">
        <v>1</v>
      </c>
      <c r="G29" s="2">
        <v>45421</v>
      </c>
      <c r="H29" s="2" t="str">
        <f t="shared" si="0"/>
        <v>May</v>
      </c>
      <c r="I29" s="1" t="s">
        <v>24</v>
      </c>
      <c r="J29" s="1">
        <v>0</v>
      </c>
      <c r="K29" s="3">
        <f>E29*F29</f>
        <v>2891</v>
      </c>
    </row>
    <row r="30" spans="1:11" x14ac:dyDescent="0.35">
      <c r="A30" s="4">
        <v>29</v>
      </c>
      <c r="B30" s="1" t="s">
        <v>23</v>
      </c>
      <c r="C30" s="1" t="s">
        <v>28</v>
      </c>
      <c r="D30" s="1" t="s">
        <v>30</v>
      </c>
      <c r="E30" s="5">
        <v>2267</v>
      </c>
      <c r="F30" s="1">
        <v>2</v>
      </c>
      <c r="G30" s="2">
        <v>45414</v>
      </c>
      <c r="H30" s="2" t="str">
        <f t="shared" si="0"/>
        <v>May</v>
      </c>
      <c r="I30" s="1" t="s">
        <v>19</v>
      </c>
      <c r="J30" s="1">
        <v>0</v>
      </c>
      <c r="K30" s="3">
        <f>E30*F30</f>
        <v>4534</v>
      </c>
    </row>
    <row r="31" spans="1:11" x14ac:dyDescent="0.35">
      <c r="A31" s="4">
        <v>30</v>
      </c>
      <c r="B31" s="1" t="s">
        <v>17</v>
      </c>
      <c r="C31" s="1" t="s">
        <v>32</v>
      </c>
      <c r="D31" s="1" t="s">
        <v>22</v>
      </c>
      <c r="E31" s="5">
        <v>758</v>
      </c>
      <c r="F31" s="1">
        <v>4</v>
      </c>
      <c r="G31" s="2">
        <v>45457</v>
      </c>
      <c r="H31" s="2" t="str">
        <f t="shared" si="0"/>
        <v>Jun</v>
      </c>
      <c r="I31" s="1" t="s">
        <v>12</v>
      </c>
      <c r="J31" s="1">
        <v>0</v>
      </c>
      <c r="K31" s="3">
        <f>E31*F31</f>
        <v>3032</v>
      </c>
    </row>
    <row r="32" spans="1:11" x14ac:dyDescent="0.35">
      <c r="A32" s="4">
        <v>31</v>
      </c>
      <c r="B32" s="1" t="s">
        <v>34</v>
      </c>
      <c r="C32" s="1" t="s">
        <v>26</v>
      </c>
      <c r="D32" s="1" t="s">
        <v>14</v>
      </c>
      <c r="E32" s="5">
        <v>4820</v>
      </c>
      <c r="F32" s="1">
        <v>2</v>
      </c>
      <c r="G32" s="2">
        <v>45532</v>
      </c>
      <c r="H32" s="2" t="str">
        <f t="shared" si="0"/>
        <v>Aug</v>
      </c>
      <c r="I32" s="1" t="s">
        <v>24</v>
      </c>
      <c r="J32" s="1">
        <v>10</v>
      </c>
      <c r="K32" s="3">
        <f>E32*F32</f>
        <v>9640</v>
      </c>
    </row>
    <row r="33" spans="1:11" x14ac:dyDescent="0.35">
      <c r="A33" s="4">
        <v>32</v>
      </c>
      <c r="B33" s="1" t="s">
        <v>20</v>
      </c>
      <c r="C33" s="1" t="s">
        <v>28</v>
      </c>
      <c r="D33" s="1" t="s">
        <v>14</v>
      </c>
      <c r="E33" s="5">
        <v>4599</v>
      </c>
      <c r="F33" s="1">
        <v>3</v>
      </c>
      <c r="G33" s="2">
        <v>45516</v>
      </c>
      <c r="H33" s="2" t="str">
        <f t="shared" si="0"/>
        <v>Aug</v>
      </c>
      <c r="I33" s="1" t="s">
        <v>24</v>
      </c>
      <c r="J33" s="1">
        <v>0</v>
      </c>
      <c r="K33" s="3">
        <f>E33*F33</f>
        <v>13797</v>
      </c>
    </row>
    <row r="34" spans="1:11" x14ac:dyDescent="0.35">
      <c r="A34" s="4">
        <v>33</v>
      </c>
      <c r="B34" s="1" t="s">
        <v>33</v>
      </c>
      <c r="C34" s="1" t="s">
        <v>21</v>
      </c>
      <c r="D34" s="1" t="s">
        <v>27</v>
      </c>
      <c r="E34" s="5">
        <v>2288</v>
      </c>
      <c r="F34" s="1">
        <v>3</v>
      </c>
      <c r="G34" s="2">
        <v>45444</v>
      </c>
      <c r="H34" s="2" t="str">
        <f t="shared" si="0"/>
        <v>Jun</v>
      </c>
      <c r="I34" s="1" t="s">
        <v>24</v>
      </c>
      <c r="J34" s="1">
        <v>5</v>
      </c>
      <c r="K34" s="3">
        <f>E34*F34</f>
        <v>6864</v>
      </c>
    </row>
    <row r="35" spans="1:11" x14ac:dyDescent="0.35">
      <c r="A35" s="4">
        <v>34</v>
      </c>
      <c r="B35" s="1" t="s">
        <v>9</v>
      </c>
      <c r="C35" s="1" t="s">
        <v>32</v>
      </c>
      <c r="D35" s="1" t="s">
        <v>22</v>
      </c>
      <c r="E35" s="5">
        <v>3262</v>
      </c>
      <c r="F35" s="1">
        <v>4</v>
      </c>
      <c r="G35" s="2">
        <v>45310</v>
      </c>
      <c r="H35" s="2" t="str">
        <f t="shared" si="0"/>
        <v>Jan</v>
      </c>
      <c r="I35" s="1" t="s">
        <v>19</v>
      </c>
      <c r="J35" s="1">
        <v>0</v>
      </c>
      <c r="K35" s="3">
        <f>E35*F35</f>
        <v>13048</v>
      </c>
    </row>
    <row r="36" spans="1:11" x14ac:dyDescent="0.35">
      <c r="A36" s="4">
        <v>35</v>
      </c>
      <c r="B36" s="1" t="s">
        <v>29</v>
      </c>
      <c r="C36" s="1" t="s">
        <v>21</v>
      </c>
      <c r="D36" s="1" t="s">
        <v>27</v>
      </c>
      <c r="E36" s="5">
        <v>3356</v>
      </c>
      <c r="F36" s="1">
        <v>3</v>
      </c>
      <c r="G36" s="2">
        <v>45637</v>
      </c>
      <c r="H36" s="2" t="str">
        <f t="shared" si="0"/>
        <v>Dec</v>
      </c>
      <c r="I36" s="1" t="s">
        <v>24</v>
      </c>
      <c r="J36" s="1">
        <v>10</v>
      </c>
      <c r="K36" s="3">
        <f>E36*F36</f>
        <v>10068</v>
      </c>
    </row>
    <row r="37" spans="1:11" x14ac:dyDescent="0.35">
      <c r="A37" s="4">
        <v>36</v>
      </c>
      <c r="B37" s="1" t="s">
        <v>16</v>
      </c>
      <c r="C37" s="1" t="s">
        <v>26</v>
      </c>
      <c r="D37" s="1" t="s">
        <v>27</v>
      </c>
      <c r="E37" s="5">
        <v>660</v>
      </c>
      <c r="F37" s="1">
        <v>0</v>
      </c>
      <c r="G37" s="2">
        <v>45642</v>
      </c>
      <c r="H37" s="2" t="str">
        <f t="shared" si="0"/>
        <v>Dec</v>
      </c>
      <c r="I37" s="1" t="s">
        <v>12</v>
      </c>
      <c r="J37" s="1">
        <v>5</v>
      </c>
      <c r="K37" s="6">
        <f>E37*F37</f>
        <v>0</v>
      </c>
    </row>
    <row r="38" spans="1:11" x14ac:dyDescent="0.35">
      <c r="A38" s="4">
        <v>37</v>
      </c>
      <c r="B38" s="1" t="s">
        <v>25</v>
      </c>
      <c r="C38" s="1" t="s">
        <v>28</v>
      </c>
      <c r="D38" s="1" t="s">
        <v>27</v>
      </c>
      <c r="E38" s="5">
        <v>3475</v>
      </c>
      <c r="F38" s="1">
        <v>2</v>
      </c>
      <c r="G38" s="2">
        <v>45381</v>
      </c>
      <c r="H38" s="2" t="str">
        <f t="shared" si="0"/>
        <v>Mar</v>
      </c>
      <c r="I38" s="1" t="s">
        <v>15</v>
      </c>
      <c r="J38" s="1">
        <v>0</v>
      </c>
      <c r="K38" s="3">
        <f>E38*F38</f>
        <v>6950</v>
      </c>
    </row>
    <row r="39" spans="1:11" x14ac:dyDescent="0.35">
      <c r="A39" s="4">
        <v>38</v>
      </c>
      <c r="B39" s="1" t="s">
        <v>31</v>
      </c>
      <c r="C39" s="1" t="s">
        <v>32</v>
      </c>
      <c r="D39" s="1" t="s">
        <v>27</v>
      </c>
      <c r="E39" s="5">
        <v>1272</v>
      </c>
      <c r="F39" s="1">
        <v>4</v>
      </c>
      <c r="G39" s="2">
        <v>45618</v>
      </c>
      <c r="H39" s="2" t="str">
        <f t="shared" si="0"/>
        <v>Nov</v>
      </c>
      <c r="I39" s="1" t="s">
        <v>12</v>
      </c>
      <c r="J39" s="1">
        <v>15</v>
      </c>
      <c r="K39" s="3">
        <f>E39*F39</f>
        <v>5088</v>
      </c>
    </row>
    <row r="40" spans="1:11" x14ac:dyDescent="0.35">
      <c r="A40" s="4">
        <v>39</v>
      </c>
      <c r="B40" s="1" t="s">
        <v>29</v>
      </c>
      <c r="C40" s="1" t="s">
        <v>26</v>
      </c>
      <c r="D40" s="1" t="s">
        <v>22</v>
      </c>
      <c r="E40" s="5">
        <v>2348</v>
      </c>
      <c r="F40" s="1">
        <v>5</v>
      </c>
      <c r="G40" s="2">
        <v>45643</v>
      </c>
      <c r="H40" s="2" t="str">
        <f t="shared" si="0"/>
        <v>Dec</v>
      </c>
      <c r="I40" s="1" t="s">
        <v>15</v>
      </c>
      <c r="J40" s="1">
        <v>0</v>
      </c>
      <c r="K40" s="3">
        <f>E40*F40</f>
        <v>11740</v>
      </c>
    </row>
    <row r="41" spans="1:11" x14ac:dyDescent="0.35">
      <c r="A41" s="4">
        <v>40</v>
      </c>
      <c r="B41" s="1" t="s">
        <v>29</v>
      </c>
      <c r="C41" s="1" t="s">
        <v>28</v>
      </c>
      <c r="D41" s="1" t="s">
        <v>27</v>
      </c>
      <c r="E41" s="5">
        <v>2986</v>
      </c>
      <c r="F41" s="1">
        <v>0</v>
      </c>
      <c r="G41" s="2">
        <v>45389</v>
      </c>
      <c r="H41" s="2" t="str">
        <f t="shared" si="0"/>
        <v>Apr</v>
      </c>
      <c r="I41" s="1" t="s">
        <v>12</v>
      </c>
      <c r="J41" s="1">
        <v>5</v>
      </c>
      <c r="K41" s="6">
        <f>E41*F41</f>
        <v>0</v>
      </c>
    </row>
    <row r="42" spans="1:11" x14ac:dyDescent="0.35">
      <c r="A42" s="4">
        <v>41</v>
      </c>
      <c r="B42" s="1" t="s">
        <v>23</v>
      </c>
      <c r="C42" s="1" t="s">
        <v>32</v>
      </c>
      <c r="D42" s="1" t="s">
        <v>11</v>
      </c>
      <c r="E42" s="5">
        <v>1253</v>
      </c>
      <c r="F42" s="1">
        <v>0</v>
      </c>
      <c r="G42" s="2">
        <v>45637</v>
      </c>
      <c r="H42" s="2" t="str">
        <f t="shared" si="0"/>
        <v>Dec</v>
      </c>
      <c r="I42" s="1" t="s">
        <v>24</v>
      </c>
      <c r="J42" s="1">
        <v>0</v>
      </c>
      <c r="K42" s="6">
        <f>E42*F42</f>
        <v>0</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
  <sheetViews>
    <sheetView showGridLines="0" tabSelected="1" zoomScale="81" workbookViewId="0">
      <selection activeCell="H31" sqref="H31"/>
    </sheetView>
  </sheetViews>
  <sheetFormatPr defaultRowHeight="14.5" x14ac:dyDescent="0.35"/>
  <sheetData>
    <row r="1" spans="1:36" x14ac:dyDescent="0.35">
      <c r="A1" s="21" t="s">
        <v>54</v>
      </c>
      <c r="B1" s="21"/>
      <c r="C1" s="21"/>
      <c r="D1" s="21"/>
      <c r="E1" s="21"/>
      <c r="F1" s="21"/>
      <c r="G1" s="21"/>
      <c r="H1" s="21"/>
      <c r="I1" s="21"/>
      <c r="J1" s="21"/>
      <c r="K1" s="21"/>
      <c r="L1" s="21"/>
      <c r="M1" s="21"/>
      <c r="N1" s="21"/>
      <c r="O1" s="21"/>
      <c r="P1" s="21"/>
      <c r="Q1" s="21"/>
      <c r="R1" s="21"/>
      <c r="S1" s="21" t="s">
        <v>54</v>
      </c>
      <c r="T1" s="21"/>
      <c r="U1" s="21"/>
      <c r="V1" s="21"/>
      <c r="W1" s="21"/>
      <c r="X1" s="21"/>
      <c r="Y1" s="21"/>
      <c r="Z1" s="21"/>
      <c r="AA1" s="21"/>
      <c r="AB1" s="21"/>
      <c r="AC1" s="21"/>
      <c r="AD1" s="21"/>
      <c r="AE1" s="21"/>
      <c r="AF1" s="21"/>
      <c r="AG1" s="21"/>
      <c r="AH1" s="21"/>
      <c r="AI1" s="21"/>
      <c r="AJ1" s="2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L5" sqref="L5"/>
    </sheetView>
  </sheetViews>
  <sheetFormatPr defaultRowHeight="14.5" x14ac:dyDescent="0.35"/>
  <cols>
    <col min="1" max="1" width="12.36328125" bestFit="1" customWidth="1"/>
    <col min="2" max="2" width="14.36328125" bestFit="1" customWidth="1"/>
  </cols>
  <sheetData>
    <row r="3" spans="1:2" x14ac:dyDescent="0.35">
      <c r="A3" s="18" t="s">
        <v>37</v>
      </c>
      <c r="B3" t="s">
        <v>36</v>
      </c>
    </row>
    <row r="4" spans="1:2" x14ac:dyDescent="0.35">
      <c r="A4" s="19" t="s">
        <v>10</v>
      </c>
      <c r="B4" s="17">
        <v>46694</v>
      </c>
    </row>
    <row r="5" spans="1:2" x14ac:dyDescent="0.35">
      <c r="A5" s="19" t="s">
        <v>21</v>
      </c>
      <c r="B5" s="17">
        <v>33119</v>
      </c>
    </row>
    <row r="6" spans="1:2" x14ac:dyDescent="0.35">
      <c r="A6" s="19" t="s">
        <v>28</v>
      </c>
      <c r="B6" s="17">
        <v>35017</v>
      </c>
    </row>
    <row r="7" spans="1:2" x14ac:dyDescent="0.35">
      <c r="A7" s="19" t="s">
        <v>32</v>
      </c>
      <c r="B7" s="17">
        <v>58997</v>
      </c>
    </row>
    <row r="8" spans="1:2" x14ac:dyDescent="0.35">
      <c r="A8" s="19" t="s">
        <v>13</v>
      </c>
      <c r="B8" s="17">
        <v>11534</v>
      </c>
    </row>
    <row r="9" spans="1:2" x14ac:dyDescent="0.35">
      <c r="A9" s="19" t="s">
        <v>26</v>
      </c>
      <c r="B9" s="17">
        <v>37989</v>
      </c>
    </row>
    <row r="10" spans="1:2" x14ac:dyDescent="0.35">
      <c r="A10" s="19" t="s">
        <v>18</v>
      </c>
      <c r="B10" s="17">
        <v>20289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topLeftCell="A2" workbookViewId="0">
      <selection activeCell="K18" sqref="K18"/>
    </sheetView>
  </sheetViews>
  <sheetFormatPr defaultRowHeight="14.5" x14ac:dyDescent="0.35"/>
  <cols>
    <col min="1" max="1" width="12.36328125" bestFit="1" customWidth="1"/>
    <col min="2" max="2" width="14.36328125" bestFit="1" customWidth="1"/>
  </cols>
  <sheetData>
    <row r="3" spans="1:2" x14ac:dyDescent="0.35">
      <c r="A3" s="18" t="s">
        <v>37</v>
      </c>
      <c r="B3" t="s">
        <v>36</v>
      </c>
    </row>
    <row r="4" spans="1:2" x14ac:dyDescent="0.35">
      <c r="A4" s="19" t="s">
        <v>30</v>
      </c>
      <c r="B4" s="17">
        <v>26585</v>
      </c>
    </row>
    <row r="5" spans="1:2" x14ac:dyDescent="0.35">
      <c r="A5" s="19" t="s">
        <v>11</v>
      </c>
      <c r="B5" s="17">
        <v>32247</v>
      </c>
    </row>
    <row r="6" spans="1:2" x14ac:dyDescent="0.35">
      <c r="A6" s="19" t="s">
        <v>22</v>
      </c>
      <c r="B6" s="17">
        <v>79081</v>
      </c>
    </row>
    <row r="7" spans="1:2" x14ac:dyDescent="0.35">
      <c r="A7" s="19" t="s">
        <v>14</v>
      </c>
      <c r="B7" s="17">
        <v>65572</v>
      </c>
    </row>
    <row r="8" spans="1:2" x14ac:dyDescent="0.35">
      <c r="A8" s="19" t="s">
        <v>27</v>
      </c>
      <c r="B8" s="17">
        <v>40154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B17" sqref="B17"/>
    </sheetView>
  </sheetViews>
  <sheetFormatPr defaultRowHeight="14.5" x14ac:dyDescent="0.35"/>
  <cols>
    <col min="1" max="1" width="12.36328125" bestFit="1" customWidth="1"/>
    <col min="2" max="2" width="14.36328125" bestFit="1" customWidth="1"/>
  </cols>
  <sheetData>
    <row r="3" spans="1:2" x14ac:dyDescent="0.35">
      <c r="A3" s="20" t="s">
        <v>37</v>
      </c>
      <c r="B3" t="s">
        <v>36</v>
      </c>
    </row>
    <row r="4" spans="1:2" x14ac:dyDescent="0.35">
      <c r="A4" s="19">
        <v>0</v>
      </c>
      <c r="B4" s="17">
        <v>144433</v>
      </c>
    </row>
    <row r="5" spans="1:2" x14ac:dyDescent="0.35">
      <c r="A5" s="19">
        <v>5</v>
      </c>
      <c r="B5" s="17">
        <v>38811</v>
      </c>
    </row>
    <row r="6" spans="1:2" x14ac:dyDescent="0.35">
      <c r="A6" s="19">
        <v>10</v>
      </c>
      <c r="B6" s="17">
        <v>31959</v>
      </c>
    </row>
    <row r="7" spans="1:2" x14ac:dyDescent="0.35">
      <c r="A7" s="19">
        <v>15</v>
      </c>
      <c r="B7" s="17">
        <v>28436</v>
      </c>
    </row>
    <row r="8" spans="1:2" x14ac:dyDescent="0.35">
      <c r="A8" s="19" t="s">
        <v>38</v>
      </c>
      <c r="B8" s="17">
        <v>243639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K14" sqref="K14"/>
    </sheetView>
  </sheetViews>
  <sheetFormatPr defaultRowHeight="14.5" x14ac:dyDescent="0.35"/>
  <cols>
    <col min="1" max="1" width="12.36328125" bestFit="1" customWidth="1"/>
    <col min="2" max="2" width="19" bestFit="1" customWidth="1"/>
  </cols>
  <sheetData>
    <row r="3" spans="1:2" x14ac:dyDescent="0.35">
      <c r="A3" s="18" t="s">
        <v>37</v>
      </c>
      <c r="B3" t="s">
        <v>40</v>
      </c>
    </row>
    <row r="4" spans="1:2" x14ac:dyDescent="0.35">
      <c r="A4" s="19">
        <v>0</v>
      </c>
      <c r="B4" s="17">
        <v>13876</v>
      </c>
    </row>
    <row r="5" spans="1:2" x14ac:dyDescent="0.35">
      <c r="A5" s="19">
        <v>1</v>
      </c>
      <c r="B5" s="17">
        <v>6928</v>
      </c>
    </row>
    <row r="6" spans="1:2" x14ac:dyDescent="0.35">
      <c r="A6" s="19">
        <v>2</v>
      </c>
      <c r="B6" s="17">
        <v>28723</v>
      </c>
    </row>
    <row r="7" spans="1:2" x14ac:dyDescent="0.35">
      <c r="A7" s="19">
        <v>3</v>
      </c>
      <c r="B7" s="17">
        <v>19887</v>
      </c>
    </row>
    <row r="8" spans="1:2" x14ac:dyDescent="0.35">
      <c r="A8" s="19">
        <v>4</v>
      </c>
      <c r="B8" s="17">
        <v>15536</v>
      </c>
    </row>
    <row r="9" spans="1:2" x14ac:dyDescent="0.35">
      <c r="A9" s="19">
        <v>5</v>
      </c>
      <c r="B9" s="17">
        <v>11492</v>
      </c>
    </row>
    <row r="10" spans="1:2" x14ac:dyDescent="0.35">
      <c r="A10" s="19" t="s">
        <v>38</v>
      </c>
      <c r="B10" s="17">
        <v>96442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L13" sqref="L13"/>
    </sheetView>
  </sheetViews>
  <sheetFormatPr defaultRowHeight="14.5" x14ac:dyDescent="0.35"/>
  <cols>
    <col min="1" max="1" width="12.36328125" bestFit="1" customWidth="1"/>
    <col min="2" max="3" width="14.36328125" bestFit="1" customWidth="1"/>
  </cols>
  <sheetData>
    <row r="3" spans="1:2" x14ac:dyDescent="0.35">
      <c r="A3" s="18" t="s">
        <v>37</v>
      </c>
      <c r="B3" t="s">
        <v>41</v>
      </c>
    </row>
    <row r="4" spans="1:2" x14ac:dyDescent="0.35">
      <c r="A4" s="19" t="s">
        <v>30</v>
      </c>
      <c r="B4" s="17">
        <v>82</v>
      </c>
    </row>
    <row r="5" spans="1:2" x14ac:dyDescent="0.35">
      <c r="A5" s="19" t="s">
        <v>11</v>
      </c>
      <c r="B5" s="17">
        <v>106</v>
      </c>
    </row>
    <row r="6" spans="1:2" x14ac:dyDescent="0.35">
      <c r="A6" s="19" t="s">
        <v>22</v>
      </c>
      <c r="B6" s="17">
        <v>250</v>
      </c>
    </row>
    <row r="7" spans="1:2" x14ac:dyDescent="0.35">
      <c r="A7" s="19" t="s">
        <v>14</v>
      </c>
      <c r="B7" s="17">
        <v>134</v>
      </c>
    </row>
    <row r="8" spans="1:2" x14ac:dyDescent="0.35">
      <c r="A8" s="19" t="s">
        <v>27</v>
      </c>
      <c r="B8" s="17">
        <v>289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0"/>
  <sheetViews>
    <sheetView workbookViewId="0">
      <selection activeCell="K16" sqref="K16"/>
    </sheetView>
  </sheetViews>
  <sheetFormatPr defaultRowHeight="14.5" x14ac:dyDescent="0.35"/>
  <sheetData>
    <row r="3" spans="1:3" x14ac:dyDescent="0.35">
      <c r="A3" s="8"/>
      <c r="B3" s="9"/>
      <c r="C3" s="10"/>
    </row>
    <row r="4" spans="1:3" x14ac:dyDescent="0.35">
      <c r="A4" s="11"/>
      <c r="B4" s="12"/>
      <c r="C4" s="13"/>
    </row>
    <row r="5" spans="1:3" x14ac:dyDescent="0.35">
      <c r="A5" s="11"/>
      <c r="B5" s="12"/>
      <c r="C5" s="13"/>
    </row>
    <row r="6" spans="1:3" x14ac:dyDescent="0.35">
      <c r="A6" s="11"/>
      <c r="B6" s="12"/>
      <c r="C6" s="13"/>
    </row>
    <row r="7" spans="1:3" x14ac:dyDescent="0.35">
      <c r="A7" s="11"/>
      <c r="B7" s="12"/>
      <c r="C7" s="13"/>
    </row>
    <row r="8" spans="1:3" x14ac:dyDescent="0.35">
      <c r="A8" s="11"/>
      <c r="B8" s="12"/>
      <c r="C8" s="13"/>
    </row>
    <row r="9" spans="1:3" x14ac:dyDescent="0.35">
      <c r="A9" s="11"/>
      <c r="B9" s="12"/>
      <c r="C9" s="13"/>
    </row>
    <row r="10" spans="1:3" x14ac:dyDescent="0.35">
      <c r="A10" s="11"/>
      <c r="B10" s="12"/>
      <c r="C10" s="13"/>
    </row>
    <row r="11" spans="1:3" x14ac:dyDescent="0.35">
      <c r="A11" s="11"/>
      <c r="B11" s="12"/>
      <c r="C11" s="13"/>
    </row>
    <row r="12" spans="1:3" x14ac:dyDescent="0.35">
      <c r="A12" s="11"/>
      <c r="B12" s="12"/>
      <c r="C12" s="13"/>
    </row>
    <row r="13" spans="1:3" x14ac:dyDescent="0.35">
      <c r="A13" s="11"/>
      <c r="B13" s="12"/>
      <c r="C13" s="13"/>
    </row>
    <row r="14" spans="1:3" x14ac:dyDescent="0.35">
      <c r="A14" s="11"/>
      <c r="B14" s="12"/>
      <c r="C14" s="13"/>
    </row>
    <row r="15" spans="1:3" x14ac:dyDescent="0.35">
      <c r="A15" s="11"/>
      <c r="B15" s="12"/>
      <c r="C15" s="13"/>
    </row>
    <row r="16" spans="1:3" x14ac:dyDescent="0.35">
      <c r="A16" s="11"/>
      <c r="B16" s="12"/>
      <c r="C16" s="13"/>
    </row>
    <row r="17" spans="1:3" x14ac:dyDescent="0.35">
      <c r="A17" s="11"/>
      <c r="B17" s="12"/>
      <c r="C17" s="13"/>
    </row>
    <row r="18" spans="1:3" x14ac:dyDescent="0.35">
      <c r="A18" s="11"/>
      <c r="B18" s="12"/>
      <c r="C18" s="13"/>
    </row>
    <row r="19" spans="1:3" x14ac:dyDescent="0.35">
      <c r="A19" s="11"/>
      <c r="B19" s="12"/>
      <c r="C19" s="13"/>
    </row>
    <row r="20" spans="1:3" x14ac:dyDescent="0.35">
      <c r="A20" s="14"/>
      <c r="B20" s="15"/>
      <c r="C20" s="16"/>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16"/>
  <sheetViews>
    <sheetView topLeftCell="A4" workbookViewId="0">
      <selection activeCell="A3" sqref="A3"/>
    </sheetView>
  </sheetViews>
  <sheetFormatPr defaultRowHeight="14.5" x14ac:dyDescent="0.35"/>
  <cols>
    <col min="1" max="1" width="12.36328125" bestFit="1" customWidth="1"/>
  </cols>
  <sheetData>
    <row r="3" spans="1:1" x14ac:dyDescent="0.35">
      <c r="A3" s="18" t="s">
        <v>37</v>
      </c>
    </row>
    <row r="4" spans="1:1" x14ac:dyDescent="0.35">
      <c r="A4" s="19" t="s">
        <v>42</v>
      </c>
    </row>
    <row r="5" spans="1:1" x14ac:dyDescent="0.35">
      <c r="A5" s="19" t="s">
        <v>43</v>
      </c>
    </row>
    <row r="6" spans="1:1" x14ac:dyDescent="0.35">
      <c r="A6" s="19" t="s">
        <v>44</v>
      </c>
    </row>
    <row r="7" spans="1:1" x14ac:dyDescent="0.35">
      <c r="A7" s="19" t="s">
        <v>45</v>
      </c>
    </row>
    <row r="8" spans="1:1" x14ac:dyDescent="0.35">
      <c r="A8" s="19" t="s">
        <v>46</v>
      </c>
    </row>
    <row r="9" spans="1:1" x14ac:dyDescent="0.35">
      <c r="A9" s="19" t="s">
        <v>47</v>
      </c>
    </row>
    <row r="10" spans="1:1" x14ac:dyDescent="0.35">
      <c r="A10" s="19" t="s">
        <v>48</v>
      </c>
    </row>
    <row r="11" spans="1:1" x14ac:dyDescent="0.35">
      <c r="A11" s="19" t="s">
        <v>49</v>
      </c>
    </row>
    <row r="12" spans="1:1" x14ac:dyDescent="0.35">
      <c r="A12" s="19" t="s">
        <v>50</v>
      </c>
    </row>
    <row r="13" spans="1:1" x14ac:dyDescent="0.35">
      <c r="A13" s="19" t="s">
        <v>51</v>
      </c>
    </row>
    <row r="14" spans="1:1" x14ac:dyDescent="0.35">
      <c r="A14" s="19" t="s">
        <v>52</v>
      </c>
    </row>
    <row r="15" spans="1:1" x14ac:dyDescent="0.35">
      <c r="A15" s="19" t="s">
        <v>53</v>
      </c>
    </row>
    <row r="16" spans="1:1" x14ac:dyDescent="0.35">
      <c r="A16" s="19" t="s">
        <v>38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new_sales_dataset</vt:lpstr>
      <vt:lpstr>Data Model</vt:lpstr>
      <vt:lpstr>Sheet1</vt:lpstr>
      <vt:lpstr>Sheet2</vt:lpstr>
      <vt:lpstr>Sheet6</vt:lpstr>
      <vt:lpstr>Sheet7</vt:lpstr>
      <vt:lpstr>Sheet8</vt:lpstr>
      <vt:lpstr>Sheet10</vt:lpstr>
      <vt:lpstr>Sheet11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Darshan Nagpure</dc:creator>
  <cp:lastModifiedBy>Darshan Nagpure</cp:lastModifiedBy>
  <dcterms:created xsi:type="dcterms:W3CDTF">2026-02-13T05:20:11Z</dcterms:created>
  <dcterms:modified xsi:type="dcterms:W3CDTF">2026-02-13T05:20:11Z</dcterms:modified>
</cp:coreProperties>
</file>